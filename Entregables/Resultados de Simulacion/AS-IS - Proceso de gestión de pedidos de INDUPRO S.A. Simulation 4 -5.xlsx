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ms-office.chartcolorstyle+xml" PartName="/xl/charts/colors1.xml"/>
  <Override ContentType="application/vnd.ms-office.chartcolorstyle+xml" PartName="/xl/charts/colors2.xml"/>
  <Override ContentType="application/vnd.ms-office.chartcolorstyle+xml" PartName="/xl/charts/colors3.xml"/>
  <Override ContentType="application/vnd.ms-office.chartcolorstyle+xml" PartName="/xl/charts/colors4.xml"/>
  <Override ContentType="application/vnd.ms-office.chartstyle+xml" PartName="/xl/charts/style1.xml"/>
  <Override ContentType="application/vnd.ms-office.chartstyle+xml" PartName="/xl/charts/style2.xml"/>
  <Override ContentType="application/vnd.ms-office.chartstyle+xml" PartName="/xl/charts/style3.xml"/>
  <Override ContentType="application/vnd.ms-office.chartstyle+xml" PartName="/xl/charts/style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stefan.krumnow\workspaces\signavio\Signavio Trunk\platform\WebContent\WEB-INF\excel\simulation\"/>
    </mc:Choice>
  </mc:AlternateContent>
  <bookViews>
    <workbookView xWindow="0" yWindow="0" windowWidth="28800" windowHeight="13020" tabRatio="784"/>
  </bookViews>
  <sheets>
    <sheet name="Overview" sheetId="1" r:id="rId1"/>
    <sheet name="Costs" sheetId="15" r:id="rId2"/>
    <sheet name="Total cost chart" sheetId="11" r:id="rId3"/>
    <sheet name="Total cycle time" sheetId="3" r:id="rId4"/>
    <sheet name="Total time chart" sheetId="12" r:id="rId5"/>
    <sheet name="Resource consumption" sheetId="4" r:id="rId6"/>
    <sheet name="Resource consumption chart" sheetId="13" r:id="rId7"/>
    <sheet name="Bottlenecks" sheetId="5" r:id="rId8"/>
    <sheet name="Bottleneck chart" sheetId="14" r:id="rId9"/>
    <sheet name="hiddenData" sheetId="8" state="hidden" r:id="rId10"/>
    <sheet name="Scenario Escenario 1 AS-IS" r:id="rId14" sheetId="16"/>
  </sheets>
  <definedNames>
    <definedName name="ActivityNames">hiddenData!$A$1:$A$15</definedName>
    <definedName name="Bottleneck0">hiddenData!$H$1:$H$15</definedName>
    <definedName name="Bottleneck1">#REF!</definedName>
    <definedName name="Consumption0">hiddenData!$F$1:$F$8</definedName>
    <definedName name="Consumption1">#REF!</definedName>
    <definedName name="Resources">hiddenData!$F$9:$F$16</definedName>
    <definedName name="TotalCosts0">hiddenData!$B$1:$B$15</definedName>
    <definedName name="TotalCosts1">#REF!</definedName>
    <definedName name="TotalTime0">hiddenData!$D$1:$D$15</definedName>
    <definedName name="TotalTime1">#REF!</definedName>
  </definedNames>
  <calcPr calcId="152511"/>
</workbook>
</file>

<file path=xl/sharedStrings.xml><?xml version="1.0" encoding="utf-8"?>
<sst xmlns="http://schemas.openxmlformats.org/spreadsheetml/2006/main" count="473" uniqueCount="114">
  <si>
    <t>Report</t>
  </si>
  <si>
    <t>Simulation</t>
  </si>
  <si>
    <t>Date</t>
  </si>
  <si>
    <t>5/22/26</t>
  </si>
  <si>
    <t>Time</t>
  </si>
  <si>
    <t>9:17 PM</t>
  </si>
  <si>
    <t>User</t>
  </si>
  <si>
    <t>Carlo Garcia</t>
  </si>
  <si>
    <t>Process</t>
  </si>
  <si>
    <t>AS-IS - Proceso de gestión de pedidos de INDUPRO S.A.</t>
  </si>
  <si>
    <t>Used scenario</t>
  </si>
  <si>
    <t>Duration in days</t>
  </si>
  <si>
    <t>Total cycle time</t>
  </si>
  <si>
    <t>Resource consumption</t>
  </si>
  <si>
    <t>Bottlenecks</t>
  </si>
  <si>
    <t>Escenario 1 AS-IS</t>
  </si>
  <si>
    <t>Analista de finanzas</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</si>
  <si>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</si>
  <si>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</si>
  <si>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Average</t>
  </si>
  <si>
    <t>Minimum</t>
  </si>
  <si>
    <t>Maximum</t>
  </si>
  <si>
    <t>Total costs</t>
  </si>
  <si>
    <t>The following table shows the costs caused by every activity of your process:</t>
  </si>
  <si>
    <t>Task</t>
  </si>
  <si>
    <t>Completed instances</t>
  </si>
  <si>
    <t>Recibir solicitud del cliente</t>
  </si>
  <si>
    <t>Validar datos del pedido</t>
  </si>
  <si>
    <t>Verificar crédito del cliente</t>
  </si>
  <si>
    <t>Consultar disponibilidad de stock en bodega</t>
  </si>
  <si>
    <t>Verificar stock</t>
  </si>
  <si>
    <t>Confirmar pedido al cliente</t>
  </si>
  <si>
    <t>Programar orden de producción</t>
  </si>
  <si>
    <t>Fabricar producto</t>
  </si>
  <si>
    <t>Inspeccionar y liberar calidad</t>
  </si>
  <si>
    <t>Verificar calidad</t>
  </si>
  <si>
    <t>Reprocesar lote</t>
  </si>
  <si>
    <t>Empacar y preparar para despacho</t>
  </si>
  <si>
    <t>Asignar transportista y programar entrega</t>
  </si>
  <si>
    <t>Entregar al cliente y obtener firma</t>
  </si>
  <si>
    <t>Generar y enviar factura</t>
  </si>
  <si>
    <t>Latest run Total costs</t>
  </si>
  <si>
    <t>Legend</t>
  </si>
  <si>
    <t>All values are relative to the highest value</t>
  </si>
  <si>
    <t>Latest run</t>
  </si>
  <si>
    <t>Previous run</t>
  </si>
  <si>
    <t>100%</t>
  </si>
  <si>
    <t>&gt;87.5%</t>
  </si>
  <si>
    <t>&gt;75%</t>
  </si>
  <si>
    <t>&gt;62.5%</t>
  </si>
  <si>
    <t>&gt;50%</t>
  </si>
  <si>
    <t>&lt;=50% or smallest value</t>
  </si>
  <si>
    <t>The cycle time of a process instance is measured between its start and completion. The following table shows selected process instance cycle times as well as the total sum of all run cycles:</t>
  </si>
  <si>
    <t>The cycle time of a process instance is measured between its start and completion. The following table shows selected
process instance cycle times as well as the total sum of all run cycles:</t>
  </si>
  <si>
    <t>Execution times incl. waiting times</t>
  </si>
  <si>
    <t>The following table shows for each activity how long its execution took with respect to existing working schedules without taking available resources into account:</t>
  </si>
  <si>
    <t>The following table shows for each activity how long its execution took with respect to existing working schedules without
taking available resources into account:</t>
  </si>
  <si>
    <t>Total execution time</t>
  </si>
  <si>
    <t>Total execution
time</t>
  </si>
  <si>
    <t>Pure execution times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</si>
  <si>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</si>
  <si>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</si>
  <si>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Latest run Total cycle time</t>
  </si>
  <si>
    <t>The execution of activities is performed by resources. The following table shows the workload of all resources in your scenario:</t>
  </si>
  <si>
    <t>The execution of activities is performed by resources. The following table shows
the workload of all resources in your scenario:</t>
  </si>
  <si>
    <t>Resources</t>
  </si>
  <si>
    <t>Consumed time</t>
  </si>
  <si>
    <t>Workload</t>
  </si>
  <si>
    <t>Ejecutivo de ventas</t>
  </si>
  <si>
    <t>Coordinador de Inventarios</t>
  </si>
  <si>
    <t>Coordinador de logística</t>
  </si>
  <si>
    <t>Transportista</t>
  </si>
  <si>
    <t>Operario de Planta</t>
  </si>
  <si>
    <t>Planificador de Producción</t>
  </si>
  <si>
    <t>Inspector de Calidad</t>
  </si>
  <si>
    <t>Latest run Workload</t>
  </si>
  <si>
    <t>The execution of a process instance might be delayed due to a shortage of resources: When an activity is ready for execution but all resources are already allocated, the execution has to wait. The following table shows activities that were delayed:</t>
  </si>
  <si>
    <t>The execution of a process instance might be delayed due to a shortage of resources: When an activity
is ready for execution but all resources are already allocated, the execution has to wait. The following
table shows activities that were delayed:</t>
  </si>
  <si>
    <t>Total waiting time</t>
  </si>
  <si>
    <t>Instances waiting at termination</t>
  </si>
  <si>
    <t>Total waiting
time</t>
  </si>
  <si>
    <t>Instances waiting
at termination</t>
  </si>
  <si>
    <t>Latest run Total waiting time</t>
  </si>
  <si>
    <t>Costs and Duration</t>
  </si>
  <si>
    <t>Execution costs</t>
  </si>
  <si>
    <t>Execution time</t>
  </si>
  <si>
    <t>00h 30m</t>
  </si>
  <si>
    <t>00h 45m</t>
  </si>
  <si>
    <t>01h 00m</t>
  </si>
  <si>
    <t>00h 50m</t>
  </si>
  <si>
    <t>00h 05m</t>
  </si>
  <si>
    <t>00h 20m</t>
  </si>
  <si>
    <t>00h 40m</t>
  </si>
  <si>
    <t>02h 00m</t>
  </si>
  <si>
    <t>01h 30m</t>
  </si>
  <si>
    <t>00h 25m</t>
  </si>
  <si>
    <t>Frequency and probabilities</t>
  </si>
  <si>
    <t>Start event</t>
  </si>
  <si>
    <t>Frequency</t>
  </si>
  <si>
    <t>Llegada de Solicitud de pedido</t>
  </si>
  <si>
    <t>On Mon-Fri; overall 20 times</t>
  </si>
  <si>
    <t>Gateway</t>
  </si>
  <si>
    <t>Decision</t>
  </si>
  <si>
    <t>Probability</t>
  </si>
  <si>
    <t>No hay stock</t>
  </si>
  <si>
    <t>Sí hay stock</t>
  </si>
  <si>
    <t>Verificar calidad de producto</t>
  </si>
  <si>
    <t>APROBADA</t>
  </si>
  <si>
    <t>RECHAZADA</t>
  </si>
  <si>
    <t>Role</t>
  </si>
  <si>
    <t>Work schedules</t>
  </si>
  <si>
    <t>Costs/hour</t>
  </si>
  <si>
    <t>1 employees; 40 hours per week</t>
  </si>
  <si>
    <t xml:space="preserve">Transportista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</si>
</sst>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quot;h&quot;:mm&quot;m&quot; ss&quot;s&quot;"/>
    <numFmt numFmtId="165" formatCode="&quot;$&quot;&quot; &quot;#,##0.00;&quot;(&quot;&quot;$&quot;&quot; &quot;#,##0.00&quot;)&quot;"/>
  </numFmts>
  <fonts count="4" x14ac:knownFonts="1">
    <font>
      <sz val="11"/>
      <color indexed="8"/>
      <name val="Calibri"/>
      <family val="2"/>
      <scheme val="minor"/>
    </font>
    <font>
      <name val="Tahoma"/>
      <sz val="11.0"/>
    </font>
    <font>
      <name val="Tahoma"/>
      <sz val="11.0"/>
      <b val="true"/>
    </font>
    <font>
      <name val="Tahoma"/>
      <sz val="11.0"/>
      <u val="single"/>
      <b val="true"/>
    </font>
  </fonts>
  <fills count="26">
    <fill>
      <patternFill patternType="none"/>
    </fill>
    <fill>
      <patternFill patternType="gray125"/>
    </fill>
    <fill>
      <patternFill patternType="solid"/>
    </fill>
    <fill>
      <patternFill patternType="solid">
        <fgColor rgb="61AEF2"/>
      </patternFill>
    </fill>
    <fill>
      <patternFill patternType="solid">
        <fgColor rgb="7ABBF4"/>
      </patternFill>
    </fill>
    <fill>
      <patternFill patternType="solid">
        <fgColor rgb="9ACBF7"/>
      </patternFill>
    </fill>
    <fill>
      <patternFill patternType="solid">
        <fgColor rgb="B3D8F9"/>
      </patternFill>
    </fill>
    <fill>
      <patternFill patternType="solid">
        <fgColor rgb="C6E0F7"/>
      </patternFill>
    </fill>
    <fill>
      <patternFill patternType="none">
        <fgColor rgb="61AEF2"/>
      </patternFill>
    </fill>
    <fill>
      <patternFill patternType="none">
        <fgColor rgb="7ABBF4"/>
      </patternFill>
    </fill>
    <fill>
      <patternFill patternType="none">
        <fgColor rgb="9ACBF7"/>
      </patternFill>
    </fill>
    <fill>
      <patternFill patternType="none">
        <fgColor rgb="B3D8F9"/>
      </patternFill>
    </fill>
    <fill>
      <patternFill patternType="none">
        <fgColor rgb="C6E0F7"/>
      </patternFill>
    </fill>
    <fill>
      <patternFill patternType="none">
        <fgColor rgb="A3A3A3"/>
      </patternFill>
    </fill>
    <fill>
      <patternFill patternType="solid">
        <fgColor rgb="A3A3A3"/>
      </patternFill>
    </fill>
    <fill>
      <patternFill patternType="none">
        <fgColor rgb="AFAFAF"/>
      </patternFill>
    </fill>
    <fill>
      <patternFill patternType="solid">
        <fgColor rgb="AFAFAF"/>
      </patternFill>
    </fill>
    <fill>
      <patternFill patternType="none">
        <fgColor rgb="C0C0C0"/>
      </patternFill>
    </fill>
    <fill>
      <patternFill patternType="solid">
        <fgColor rgb="C0C0C0"/>
      </patternFill>
    </fill>
    <fill>
      <patternFill patternType="none">
        <fgColor rgb="CDCDCD"/>
      </patternFill>
    </fill>
    <fill>
      <patternFill patternType="solid">
        <fgColor rgb="CDCDCD"/>
      </patternFill>
    </fill>
    <fill>
      <patternFill patternType="none">
        <fgColor rgb="D5D5D5"/>
      </patternFill>
    </fill>
    <fill>
      <patternFill patternType="solid">
        <fgColor rgb="D5D5D5"/>
      </patternFill>
    </fill>
    <fill>
      <patternFill/>
    </fill>
    <fill>
      <patternFill>
        <fgColor indexed="64"/>
      </patternFill>
    </fill>
    <fill>
      <patternFill>
        <fgColor indexed="64"/>
        <bgColor indexed="64"/>
      </patternFill>
    </fill>
  </fills>
  <borders count="51">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63"/>
      </bottom>
    </border>
    <border>
      <left style="thin">
        <color indexed="63"/>
      </left>
      <right style="thin"/>
      <top style="thin"/>
      <bottom style="thin">
        <color indexed="63"/>
      </bottom>
    </border>
    <border>
      <left style="thin">
        <color indexed="63"/>
      </left>
      <right style="thin"/>
      <top style="thin">
        <color indexed="63"/>
      </top>
      <bottom style="thin">
        <color indexed="63"/>
      </bottom>
    </border>
    <border>
      <left style="thin">
        <color indexed="63"/>
      </left>
      <right style="thin">
        <color indexed="63"/>
      </right>
      <top style="thin">
        <color indexed="63"/>
      </top>
      <bottom style="thin">
        <color indexed="63"/>
      </bottom>
    </border>
    <border>
      <left style="thin"/>
    </border>
    <border>
      <right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color indexed="8"/>
      </bottom>
    </border>
    <border>
      <left>
        <color indexed="8"/>
      </left>
      <right style="thin"/>
      <bottom>
        <color indexed="8"/>
      </bottom>
    </border>
    <border>
      <left>
        <color indexed="8"/>
      </left>
      <right style="thin">
        <color indexed="8"/>
      </right>
      <bottom>
        <color indexed="8"/>
      </bottom>
    </border>
    <border>
      <left>
        <color indexed="8"/>
      </left>
      <right style="thin">
        <color indexed="8"/>
      </right>
      <top>
        <color indexed="8"/>
      </top>
      <bottom>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top style="thin"/>
    </border>
    <border>
      <left style="thin"/>
      <top style="thin"/>
      <bottom>
        <color indexed="8"/>
      </bottom>
    </border>
    <border>
      <left style="thin">
        <color indexed="8"/>
      </left>
      <top style="thin"/>
      <bottom>
        <color indexed="8"/>
      </bottom>
    </border>
    <border>
      <left style="thin">
        <color indexed="8"/>
      </left>
      <right>
        <color indexed="8"/>
      </right>
      <top style="thin"/>
      <bottom>
        <color indexed="8"/>
      </bottom>
    </border>
    <border>
      <left style="thin">
        <color indexed="8"/>
      </left>
      <right>
        <color indexed="8"/>
      </right>
      <top style="thin">
        <color indexed="8"/>
      </top>
      <bottom>
        <color indexed="8"/>
      </bottom>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82">
    <xf numFmtId="0" fontId="0" fillId="0" borderId="0" xfId="0"/>
    <xf numFmtId="15" fontId="0" fillId="0" borderId="0" xfId="0" applyNumberFormat="1"/>
    <xf numFmtId="0" fontId="1" fillId="0" borderId="0" xfId="0" applyAlignment="true" applyFont="true">
      <alignment vertical="top" wrapText="true"/>
    </xf>
    <xf numFmtId="0" fontId="2" fillId="0" borderId="0" xfId="0" applyAlignment="true" applyFont="true">
      <alignment vertical="top" wrapText="true"/>
    </xf>
    <xf numFmtId="0" fontId="3" fillId="0" borderId="0" xfId="0" applyAlignment="true" applyFont="true">
      <alignment vertical="top" wrapText="true"/>
    </xf>
    <xf numFmtId="0" fontId="2" fillId="0" borderId="8" xfId="0" applyAlignment="true" applyFont="true" applyBorder="true">
      <alignment vertical="top" wrapText="true"/>
    </xf>
    <xf numFmtId="0" fontId="1" fillId="0" borderId="8" xfId="0" applyAlignment="true" applyFont="true" applyBorder="true">
      <alignment vertical="top" wrapText="true"/>
    </xf>
    <xf numFmtId="0" fontId="1" fillId="0" borderId="8" xfId="0" applyAlignment="true" applyFont="true" applyBorder="true">
      <alignment vertical="top" wrapText="true" horizontal="right"/>
    </xf>
    <xf numFmtId="164" fontId="1" fillId="0" borderId="8" xfId="0" applyAlignment="true" applyFont="true" applyBorder="true" applyNumberFormat="true">
      <alignment vertical="top" wrapText="true"/>
    </xf>
    <xf numFmtId="10"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0" fontId="1" fillId="0" borderId="8" xfId="0" applyAlignment="true" applyFont="true" applyBorder="true">
      <alignment vertical="top" wrapText="true"/>
    </xf>
    <xf numFmtId="10" fontId="1" fillId="0" borderId="8" xfId="0" applyAlignment="true" applyFont="true" applyBorder="true" applyNumberFormat="true">
      <alignment vertical="top" wrapText="true"/>
    </xf>
    <xf numFmtId="164" fontId="1" fillId="0" borderId="8" xfId="0" applyAlignment="true" applyFont="true" applyBorder="true" applyNumberFormat="true">
      <alignment vertical="top" wrapText="true"/>
    </xf>
    <xf numFmtId="0" fontId="1" fillId="3" borderId="9" xfId="0" applyAlignment="true" applyFont="true" applyFill="true" applyBorder="true">
      <alignment vertical="top" wrapText="true"/>
    </xf>
    <xf numFmtId="0" fontId="1" fillId="4" borderId="9" xfId="0" applyAlignment="true" applyFont="true" applyFill="true" applyBorder="true">
      <alignment vertical="top" wrapText="true"/>
    </xf>
    <xf numFmtId="0" fontId="1" fillId="5" borderId="9" xfId="0" applyAlignment="true" applyFont="true" applyFill="true" applyBorder="true">
      <alignment vertical="top" wrapText="true"/>
    </xf>
    <xf numFmtId="0" fontId="1" fillId="6" borderId="9" xfId="0" applyAlignment="true" applyFont="true" applyFill="true" applyBorder="true">
      <alignment vertical="top" wrapText="true"/>
    </xf>
    <xf numFmtId="0" fontId="1" fillId="7" borderId="9" xfId="0" applyAlignment="true" applyFont="true" applyFill="true" applyBorder="true">
      <alignment vertical="top" wrapText="true"/>
    </xf>
    <xf numFmtId="0" fontId="1" fillId="3" borderId="8" xfId="0" applyAlignment="true" applyFont="true" applyBorder="true" applyFill="true">
      <alignment vertical="top" wrapText="true"/>
    </xf>
    <xf numFmtId="0" fontId="1" fillId="4" borderId="8" xfId="0" applyAlignment="true" applyFont="true" applyBorder="true" applyFill="true">
      <alignment vertical="top" wrapText="true"/>
    </xf>
    <xf numFmtId="0" fontId="1" fillId="5" borderId="8" xfId="0" applyAlignment="true" applyFont="true" applyBorder="true" applyFill="true">
      <alignment vertical="top" wrapText="true"/>
    </xf>
    <xf numFmtId="0" fontId="1" fillId="6" borderId="8" xfId="0" applyAlignment="true" applyFont="true" applyBorder="true" applyFill="true">
      <alignment vertical="top" wrapText="true"/>
    </xf>
    <xf numFmtId="0" fontId="1" fillId="7" borderId="8" xfId="0" applyAlignment="true" applyFont="true" applyBorder="true" applyFill="true">
      <alignment vertical="top" wrapText="true"/>
    </xf>
    <xf numFmtId="165" fontId="1" fillId="3" borderId="8" xfId="0" applyAlignment="true" applyFont="true" applyBorder="true" applyNumberFormat="true" applyFill="true">
      <alignment vertical="top" wrapText="true"/>
    </xf>
    <xf numFmtId="165" fontId="1" fillId="4" borderId="8" xfId="0" applyAlignment="true" applyFont="true" applyBorder="true" applyNumberFormat="true" applyFill="true">
      <alignment vertical="top" wrapText="true"/>
    </xf>
    <xf numFmtId="165" fontId="1" fillId="5" borderId="8" xfId="0" applyAlignment="true" applyFont="true" applyBorder="true" applyNumberFormat="true" applyFill="true">
      <alignment vertical="top" wrapText="true"/>
    </xf>
    <xf numFmtId="165" fontId="1" fillId="6" borderId="8" xfId="0" applyAlignment="true" applyFont="true" applyBorder="true" applyNumberFormat="true" applyFill="true">
      <alignment vertical="top" wrapText="true"/>
    </xf>
    <xf numFmtId="165" fontId="1" fillId="7" borderId="8" xfId="0" applyAlignment="true" applyFont="true" applyBorder="true" applyNumberFormat="true" applyFill="true">
      <alignment vertical="top" wrapText="true"/>
    </xf>
    <xf numFmtId="10" fontId="1" fillId="3" borderId="8" xfId="0" applyAlignment="true" applyFont="true" applyBorder="true" applyNumberFormat="true" applyFill="true">
      <alignment vertical="top" wrapText="true"/>
    </xf>
    <xf numFmtId="10" fontId="1" fillId="4" borderId="8" xfId="0" applyAlignment="true" applyFont="true" applyBorder="true" applyNumberFormat="true" applyFill="true">
      <alignment vertical="top" wrapText="true"/>
    </xf>
    <xf numFmtId="10" fontId="1" fillId="5" borderId="8" xfId="0" applyAlignment="true" applyFont="true" applyBorder="true" applyNumberFormat="true" applyFill="true">
      <alignment vertical="top" wrapText="true"/>
    </xf>
    <xf numFmtId="10" fontId="1" fillId="6" borderId="8" xfId="0" applyAlignment="true" applyFont="true" applyBorder="true" applyNumberFormat="true" applyFill="true">
      <alignment vertical="top" wrapText="true"/>
    </xf>
    <xf numFmtId="10" fontId="1" fillId="7" borderId="8" xfId="0" applyAlignment="true" applyFont="true" applyBorder="true" applyNumberFormat="true" applyFill="true">
      <alignment vertical="top" wrapText="true"/>
    </xf>
    <xf numFmtId="164" fontId="1" fillId="3" borderId="8" xfId="0" applyAlignment="true" applyFont="true" applyBorder="true" applyNumberFormat="true" applyFill="true">
      <alignment vertical="top" wrapText="true"/>
    </xf>
    <xf numFmtId="164" fontId="1" fillId="4" borderId="8" xfId="0" applyAlignment="true" applyFont="true" applyBorder="true" applyNumberFormat="true" applyFill="true">
      <alignment vertical="top" wrapText="true"/>
    </xf>
    <xf numFmtId="164" fontId="1" fillId="5" borderId="8" xfId="0" applyAlignment="true" applyFont="true" applyBorder="true" applyNumberFormat="true" applyFill="true">
      <alignment vertical="top" wrapText="true"/>
    </xf>
    <xf numFmtId="164" fontId="1" fillId="6" borderId="8" xfId="0" applyAlignment="true" applyFont="true" applyBorder="true" applyNumberFormat="true" applyFill="true">
      <alignment vertical="top" wrapText="true"/>
    </xf>
    <xf numFmtId="164" fontId="1" fillId="7" borderId="8" xfId="0" applyAlignment="true" applyFont="true" applyBorder="true" applyNumberFormat="true" applyFill="true">
      <alignment vertical="top" wrapText="true"/>
    </xf>
    <xf numFmtId="0" fontId="1" fillId="14" borderId="10" xfId="0" applyAlignment="true" applyFont="true" applyFill="true" applyBorder="true">
      <alignment vertical="top" wrapText="true"/>
    </xf>
    <xf numFmtId="0" fontId="1" fillId="16" borderId="10" xfId="0" applyAlignment="true" applyFont="true" applyFill="true" applyBorder="true">
      <alignment vertical="top" wrapText="true"/>
    </xf>
    <xf numFmtId="0" fontId="1" fillId="18" borderId="10" xfId="0" applyAlignment="true" applyFont="true" applyFill="true" applyBorder="true">
      <alignment vertical="top" wrapText="true"/>
    </xf>
    <xf numFmtId="0" fontId="1" fillId="20" borderId="10" xfId="0" applyAlignment="true" applyFont="true" applyFill="true" applyBorder="true">
      <alignment vertical="top" wrapText="true"/>
    </xf>
    <xf numFmtId="0" fontId="1" fillId="22" borderId="10" xfId="0" applyAlignment="true" applyFont="true" applyFill="true" applyBorder="true">
      <alignment vertical="top" wrapText="true"/>
    </xf>
    <xf numFmtId="0" fontId="1" fillId="14" borderId="8" xfId="0" applyAlignment="true" applyFont="true" applyBorder="true" applyFill="true">
      <alignment vertical="top" wrapText="true"/>
    </xf>
    <xf numFmtId="0" fontId="1" fillId="16" borderId="8" xfId="0" applyAlignment="true" applyFont="true" applyBorder="true" applyFill="true">
      <alignment vertical="top" wrapText="true"/>
    </xf>
    <xf numFmtId="0" fontId="1" fillId="18" borderId="8" xfId="0" applyAlignment="true" applyFont="true" applyBorder="true" applyFill="true">
      <alignment vertical="top" wrapText="true"/>
    </xf>
    <xf numFmtId="0" fontId="1" fillId="20" borderId="8" xfId="0" applyAlignment="true" applyFont="true" applyBorder="true" applyFill="true">
      <alignment vertical="top" wrapText="true"/>
    </xf>
    <xf numFmtId="0" fontId="1" fillId="22" borderId="8" xfId="0" applyAlignment="true" applyFont="true" applyBorder="true" applyFill="true">
      <alignment vertical="top" wrapText="true"/>
    </xf>
    <xf numFmtId="165" fontId="1" fillId="14" borderId="8" xfId="0" applyAlignment="true" applyFont="true" applyBorder="true" applyNumberFormat="true" applyFill="true">
      <alignment vertical="top" wrapText="true"/>
    </xf>
    <xf numFmtId="165" fontId="1" fillId="16" borderId="8" xfId="0" applyAlignment="true" applyFont="true" applyBorder="true" applyNumberFormat="true" applyFill="true">
      <alignment vertical="top" wrapText="true"/>
    </xf>
    <xf numFmtId="165" fontId="1" fillId="18" borderId="8" xfId="0" applyAlignment="true" applyFont="true" applyBorder="true" applyNumberFormat="true" applyFill="true">
      <alignment vertical="top" wrapText="true"/>
    </xf>
    <xf numFmtId="165" fontId="1" fillId="20" borderId="8" xfId="0" applyAlignment="true" applyFont="true" applyBorder="true" applyNumberFormat="true" applyFill="true">
      <alignment vertical="top" wrapText="true"/>
    </xf>
    <xf numFmtId="165" fontId="1" fillId="22" borderId="8" xfId="0" applyAlignment="true" applyFont="true" applyBorder="true" applyNumberFormat="true" applyFill="true">
      <alignment vertical="top" wrapText="true"/>
    </xf>
    <xf numFmtId="10" fontId="1" fillId="14" borderId="8" xfId="0" applyAlignment="true" applyFont="true" applyBorder="true" applyNumberFormat="true" applyFill="true">
      <alignment vertical="top" wrapText="true"/>
    </xf>
    <xf numFmtId="10" fontId="1" fillId="16" borderId="8" xfId="0" applyAlignment="true" applyFont="true" applyBorder="true" applyNumberFormat="true" applyFill="true">
      <alignment vertical="top" wrapText="true"/>
    </xf>
    <xf numFmtId="10" fontId="1" fillId="18" borderId="8" xfId="0" applyAlignment="true" applyFont="true" applyBorder="true" applyNumberFormat="true" applyFill="true">
      <alignment vertical="top" wrapText="true"/>
    </xf>
    <xf numFmtId="10" fontId="1" fillId="20" borderId="8" xfId="0" applyAlignment="true" applyFont="true" applyBorder="true" applyNumberFormat="true" applyFill="true">
      <alignment vertical="top" wrapText="true"/>
    </xf>
    <xf numFmtId="10" fontId="1" fillId="22" borderId="8" xfId="0" applyAlignment="true" applyFont="true" applyBorder="true" applyNumberFormat="true" applyFill="true">
      <alignment vertical="top" wrapText="true"/>
    </xf>
    <xf numFmtId="164" fontId="1" fillId="14" borderId="8" xfId="0" applyAlignment="true" applyFont="true" applyBorder="true" applyNumberFormat="true" applyFill="true">
      <alignment vertical="top" wrapText="true"/>
    </xf>
    <xf numFmtId="164" fontId="1" fillId="16" borderId="8" xfId="0" applyAlignment="true" applyFont="true" applyBorder="true" applyNumberFormat="true" applyFill="true">
      <alignment vertical="top" wrapText="true"/>
    </xf>
    <xf numFmtId="164" fontId="1" fillId="18" borderId="8" xfId="0" applyAlignment="true" applyFont="true" applyBorder="true" applyNumberFormat="true" applyFill="true">
      <alignment vertical="top" wrapText="true"/>
    </xf>
    <xf numFmtId="164" fontId="1" fillId="20" borderId="8" xfId="0" applyAlignment="true" applyFont="true" applyBorder="true" applyNumberFormat="true" applyFill="true">
      <alignment vertical="top" wrapText="true"/>
    </xf>
    <xf numFmtId="164" fontId="1" fillId="22" borderId="8" xfId="0" applyAlignment="true" applyFont="true" applyBorder="true" applyNumberFormat="true" applyFill="true">
      <alignment vertical="top" wrapText="true"/>
    </xf>
    <xf numFmtId="0" fontId="2"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8" xfId="0" applyAlignment="true" applyBorder="true" applyNumberFormat="true" applyFill="true" applyFont="true" quotePrefix="false">
      <alignment horizontal="general" vertical="top" indent="0" textRotation="0" wrapText="true" shrinkToFit="false"/>
      <protection hidden="false" locked="true"/>
    </xf>
    <xf numFmtId="0" fontId="1" fillId="25" borderId="23" xfId="0" applyAlignment="true" applyBorder="true" applyNumberFormat="true" applyFill="true" applyFont="true" quotePrefix="false">
      <alignment horizontal="general" vertical="top" indent="0" textRotation="0" wrapText="true" shrinkToFit="false"/>
      <protection hidden="false" locked="true"/>
    </xf>
    <xf numFmtId="0" fontId="2" fillId="25" borderId="27" xfId="0" applyAlignment="true" applyBorder="true" applyNumberFormat="true" applyFill="true" applyFont="true" quotePrefix="false">
      <alignment horizontal="general" vertical="top" indent="0" textRotation="0" wrapText="true" shrinkToFit="false"/>
      <protection hidden="false" locked="true"/>
    </xf>
    <xf numFmtId="0" fontId="2" fillId="25" borderId="31" xfId="0" applyAlignment="true" applyBorder="true" applyNumberFormat="true" applyFill="true" applyFont="true" quotePrefix="false">
      <alignment horizontal="general" vertical="top" indent="0" textRotation="0" wrapText="true" shrinkToFit="false"/>
      <protection hidden="false" locked="true"/>
    </xf>
    <xf numFmtId="0" fontId="2" fillId="25" borderId="36" xfId="0" applyAlignment="true" applyBorder="true" applyNumberFormat="true" applyFill="true" applyFont="true" quotePrefix="false">
      <alignment horizontal="general" vertical="top" indent="0" textRotation="0" wrapText="true" shrinkToFit="false"/>
      <protection hidden="false" locked="true"/>
    </xf>
    <xf numFmtId="0" fontId="1" fillId="25" borderId="41" xfId="0" applyAlignment="true" applyBorder="true" applyNumberFormat="true" applyFill="true" applyFont="true" quotePrefix="false">
      <alignment horizontal="general" vertical="top" indent="0" textRotation="0" wrapText="true" shrinkToFit="false"/>
      <protection hidden="false" locked="true"/>
    </xf>
    <xf numFmtId="0" fontId="2" fillId="25" borderId="46" xfId="0" applyAlignment="true" applyBorder="true" applyNumberFormat="true" applyFill="true" applyFont="true" quotePrefix="false">
      <alignment horizontal="general" vertical="top" indent="0" textRotation="0" wrapText="true" shrinkToFit="false"/>
      <protection hidden="false" locked="true"/>
    </xf>
    <xf numFmtId="0" fontId="0" fillId="25" borderId="46"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27" xfId="0" applyAlignment="true" applyBorder="true" applyNumberFormat="true" applyFill="true" applyFont="true" quotePrefix="false">
      <alignment horizontal="general" vertical="top" indent="0" textRotation="0" wrapText="true" shrinkToFit="false"/>
      <protection hidden="false" locked="true"/>
    </xf>
    <xf numFmtId="0" fontId="0" fillId="25" borderId="41"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18"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31" xfId="0" applyAlignment="true" applyBorder="true" applyNumberFormat="true" applyFill="true" applyFont="true" quotePrefix="false">
      <alignment horizontal="general" vertical="top" indent="0" textRotation="0" wrapText="true" shrinkToFit="false"/>
      <protection hidden="false" locked="true"/>
    </xf>
    <xf numFmtId="0" fontId="0" fillId="25" borderId="14"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31"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50" xfId="0" applyAlignment="true" applyBorder="true" applyNumberFormat="true" applyFill="true" applyFont="true" quotePrefix="false">
      <alignment horizontal="general" vertical="bottom" indent="0" textRotation="0" wrapText="false" shrinkToFit="false"/>
      <protection hidden="false" locked="true"/>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_rels/chart1.xml.rels><?xml version="1.0" encoding="UTF-8" standalone="yes"?><Relationships xmlns="http://schemas.openxmlformats.org/package/2006/relationships"><Relationship Id="rId1" Target="style1.xml" Type="http://schemas.microsoft.com/office/2011/relationships/chartStyle"/><Relationship Id="rId2" Target="colors1.xml" Type="http://schemas.microsoft.com/office/2011/relationships/chartColorStyle"/></Relationships>
</file>

<file path=xl/charts/_rels/chart2.xml.rels><?xml version="1.0" encoding="UTF-8" standalone="yes"?><Relationships xmlns="http://schemas.openxmlformats.org/package/2006/relationships"><Relationship Id="rId1" Target="style2.xml" Type="http://schemas.microsoft.com/office/2011/relationships/chartStyle"/><Relationship Id="rId2" Target="colors2.xml" Type="http://schemas.microsoft.com/office/2011/relationships/chartColorStyle"/></Relationships>
</file>

<file path=xl/charts/_rels/chart3.xml.rels><?xml version="1.0" encoding="UTF-8" standalone="yes"?><Relationships xmlns="http://schemas.openxmlformats.org/package/2006/relationships"><Relationship Id="rId1" Target="style3.xml" Type="http://schemas.microsoft.com/office/2011/relationships/chartStyle"/><Relationship Id="rId2" Target="colors3.xml" Type="http://schemas.microsoft.com/office/2011/relationships/chartColorStyle"/></Relationships>
</file>

<file path=xl/charts/_rels/chart4.xml.rels><?xml version="1.0" encoding="UTF-8" standalone="yes"?><Relationships xmlns="http://schemas.openxmlformats.org/package/2006/relationships"><Relationship Id="rId1" Target="style4.xml" Type="http://schemas.microsoft.com/office/2011/relationships/chartStyle"/><Relationship Id="rId2" Target="colors4.xml" Type="http://schemas.microsoft.com/office/2011/relationships/chartColorStyle"/></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hiddenData!$I$1</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[0]!TotalCosts0</c:f>
              <c:numCache>
                <c:formatCode>General</c:formatCode>
                <c:ptCount val="1"/>
                <c:pt idx="0">
                  <c:v>1</c:v>
                </c:pt>
              </c:numCache>
            </c:numRef>
          </c:val>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hiddenData!$I$2</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[0]!TotalTime0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hiddenData!$I$3</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[0]!Resources</c:f>
            </c:multiLvlStrRef>
          </c:cat>
          <c:val>
            <c:numRef>
              <c:f>[0]!Consumption0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hiddenData!$I$4</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[0]!Bottleneck0</c:f>
              <c:numCache>
                <c:formatCode>General</c:formatCode>
                <c:ptCount val="1"/>
                <c:pt idx="0">
                  <c:v>1</c:v>
                </c:pt>
              </c:numCache>
            </c:numRef>
          </c:val>
          <c:extLst/>
        </c:ser>
        <c:ser>
          <c:idx val="0"/>
          <c:order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[0]!ActivityNames</c:f>
            </c:multiLvlStrRef>
          </c:cat>
          <c:val>
            <c:numRef>
              <c:f>[0]!Bottleneck0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1" Target="../charts/chart1.xml" Type="http://schemas.openxmlformats.org/officeDocument/2006/relationships/chart"/></Relationships>
</file>

<file path=xl/drawings/_rels/drawing2.xml.rels><?xml version="1.0" encoding="UTF-8" standalone="yes"?><Relationships xmlns="http://schemas.openxmlformats.org/package/2006/relationships"><Relationship Id="rId1" Target="../charts/chart2.xml" Type="http://schemas.openxmlformats.org/officeDocument/2006/relationships/chart"/></Relationships>
</file>

<file path=xl/drawings/_rels/drawing3.xml.rels><?xml version="1.0" encoding="UTF-8" standalone="yes"?><Relationships xmlns="http://schemas.openxmlformats.org/package/2006/relationships"><Relationship Id="rId1" Target="../charts/chart3.xml" Type="http://schemas.openxmlformats.org/officeDocument/2006/relationships/chart"/></Relationships>
</file>

<file path=xl/drawings/_rels/drawing4.xml.rels><?xml version="1.0" encoding="UTF-8" standalone="yes"?><Relationships xmlns="http://schemas.openxmlformats.org/package/2006/relationships"><Relationship Id="rId1" Target="../charts/chart4.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9</xdr:col>
      <xdr:colOff>0</xdr:colOff>
      <xdr:row>27</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8</xdr:col>
      <xdr:colOff>514350</xdr:colOff>
      <xdr:row>26</xdr:row>
      <xdr:rowOff>0</xdr:rowOff>
    </xdr:to>
    <xdr:graphicFrame macro="">
      <xdr:nvGraphicFramePr>
        <xdr:cNvPr id="5" name="Diagramm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7.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9.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abSelected="1" workbookViewId="0"/>
  </sheetViews>
  <sheetFormatPr baseColWidth="20" defaultColWidth="21.7109375" defaultRowHeight="15" x14ac:dyDescent="0.25"/>
  <cols>
    <col min="1" max="1" width="14.64453125" customWidth="true" bestFit="true"/>
    <col min="2" max="2" width="44.44140625" customWidth="true" bestFit="true"/>
    <col min="3" max="3" width="18.26171875" customWidth="true" bestFit="true"/>
    <col min="4" max="4" width="21.18359375" customWidth="true" bestFit="true"/>
    <col min="5" max="5" width="16.7187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5">
        <v>10</v>
      </c>
      <c r="B7" t="s" s="5">
        <v>11</v>
      </c>
      <c r="C7" t="s" s="5">
        <v>12</v>
      </c>
      <c r="D7" t="s" s="5">
        <v>13</v>
      </c>
      <c r="E7" t="s" s="5">
        <v>14</v>
      </c>
    </row>
    <row r="8">
      <c r="A8" t="s" s="6">
        <v>15</v>
      </c>
      <c r="B8" t="n" s="6">
        <v>5.0</v>
      </c>
      <c r="C8" t="n" s="8">
        <v>10.70138888888889</v>
      </c>
      <c r="D8" t="n" s="8">
        <v>4.506944444444445</v>
      </c>
      <c r="E8" t="s" s="6">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workbookViewId="0"/>
  </sheetViews>
  <sheetFormatPr baseColWidth="20" defaultColWidth="21.7109375" defaultRowHeight="15" x14ac:dyDescent="0.25"/>
  <cols>
    <col min="1" max="1" width="35.8203125" customWidth="true" bestFit="true"/>
    <col min="2" max="2" width="44.44140625" customWidth="true" bestFit="true"/>
    <col min="3" max="3" width="15.6640625" customWidth="true" bestFit="true"/>
    <col min="4" max="4" width="19.56640625" customWidth="true" bestFit="true"/>
    <col min="5" max="5" width="9.58984375" customWidth="true" bestFit="true"/>
    <col min="6" max="6" width="10.703125" customWidth="true" bestFit="true"/>
    <col min="7" max="7" width="9.58984375" customWidth="true" bestFit="true"/>
    <col min="8" max="8" width="10.7031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ht="45.0" customHeight="true">
      <c r="A7" t="s" s="2">
        <v>18</v>
      </c>
    </row>
    <row r="10">
      <c r="A10" t="s" s="5">
        <v>10</v>
      </c>
      <c r="B10" t="s" s="5">
        <v>11</v>
      </c>
      <c r="C10" t="s" s="5">
        <v>19</v>
      </c>
      <c r="D10" t="s" s="5">
        <v>20</v>
      </c>
      <c r="E10" t="s" s="5">
        <v>21</v>
      </c>
      <c r="F10" t="s" s="5">
        <v>22</v>
      </c>
    </row>
    <row r="11">
      <c r="A11" t="s" s="6">
        <v>15</v>
      </c>
      <c r="B11" t="n" s="7">
        <v>5.0</v>
      </c>
      <c r="C11" t="n" s="10">
        <v>64.38</v>
      </c>
      <c r="D11" t="n" s="10">
        <v>62.17</v>
      </c>
      <c r="E11" t="n" s="10">
        <v>101.92</v>
      </c>
      <c r="F11" t="n" s="10">
        <v>1214.92</v>
      </c>
    </row>
    <row r="13">
      <c r="A13" t="s" s="2">
        <v>23</v>
      </c>
    </row>
    <row r="15">
      <c r="A15" t="s" s="5">
        <v>24</v>
      </c>
      <c r="B15" t="s" s="5">
        <v>10</v>
      </c>
      <c r="C15" t="s" s="5">
        <v>11</v>
      </c>
      <c r="D15" t="s" s="5">
        <v>25</v>
      </c>
      <c r="E15" t="s" s="5">
        <v>19</v>
      </c>
      <c r="F15" t="s" s="5">
        <v>20</v>
      </c>
      <c r="G15" t="s" s="5">
        <v>21</v>
      </c>
      <c r="H15" t="s" s="5">
        <v>22</v>
      </c>
    </row>
    <row r="16">
      <c r="A16" t="s" s="6">
        <v>26</v>
      </c>
      <c r="B16" t="s" s="6">
        <v>15</v>
      </c>
      <c r="C16" t="n" s="6">
        <v>5.0</v>
      </c>
      <c r="D16" t="n" s="20">
        <v>20.0</v>
      </c>
      <c r="E16" t="n" s="10">
        <v>6.0</v>
      </c>
      <c r="F16" t="n" s="10">
        <v>6.0</v>
      </c>
      <c r="G16" t="n" s="10">
        <v>6.0</v>
      </c>
      <c r="H16" t="n" s="10">
        <v>120.0</v>
      </c>
    </row>
    <row r="17">
      <c r="A17" t="s" s="6">
        <v>27</v>
      </c>
      <c r="B17" t="s" s="6">
        <v>15</v>
      </c>
      <c r="C17" t="n" s="6">
        <v>5.0</v>
      </c>
      <c r="D17" t="n" s="20">
        <v>20.0</v>
      </c>
      <c r="E17" t="n" s="29">
        <v>9.0</v>
      </c>
      <c r="F17" t="n" s="29">
        <v>9.0</v>
      </c>
      <c r="G17" t="n" s="29">
        <v>9.0</v>
      </c>
      <c r="H17" t="n" s="28">
        <v>180.0</v>
      </c>
    </row>
    <row r="18">
      <c r="A18" t="s" s="6">
        <v>28</v>
      </c>
      <c r="B18" t="s" s="6">
        <v>15</v>
      </c>
      <c r="C18" t="n" s="6">
        <v>5.0</v>
      </c>
      <c r="D18" t="n" s="21">
        <v>19.0</v>
      </c>
      <c r="E18" t="n" s="27">
        <v>13.0</v>
      </c>
      <c r="F18" t="n" s="27">
        <v>13.0</v>
      </c>
      <c r="G18" t="n" s="27">
        <v>13.0</v>
      </c>
      <c r="H18" t="n" s="25">
        <v>247.0</v>
      </c>
    </row>
    <row r="19">
      <c r="A19" t="s" s="6">
        <v>29</v>
      </c>
      <c r="B19" t="s" s="6">
        <v>15</v>
      </c>
      <c r="C19" t="n" s="6">
        <v>5.0</v>
      </c>
      <c r="D19" t="n" s="21">
        <v>19.0</v>
      </c>
      <c r="E19" t="n" s="29">
        <v>8.33</v>
      </c>
      <c r="F19" t="n" s="29">
        <v>8.33</v>
      </c>
      <c r="G19" t="n" s="29">
        <v>8.33</v>
      </c>
      <c r="H19" t="n" s="28">
        <v>158.33</v>
      </c>
    </row>
    <row r="20">
      <c r="A20" t="s" s="6">
        <v>30</v>
      </c>
      <c r="B20" t="s" s="6">
        <v>15</v>
      </c>
      <c r="C20" t="n" s="6">
        <v>5.0</v>
      </c>
      <c r="D20" t="n" s="21">
        <v>19.0</v>
      </c>
      <c r="E20" t="n" s="10">
        <v>0.83</v>
      </c>
      <c r="F20" t="n" s="10">
        <v>0.83</v>
      </c>
      <c r="G20" t="n" s="10">
        <v>0.83</v>
      </c>
      <c r="H20" t="n" s="10">
        <v>15.83</v>
      </c>
    </row>
    <row r="21">
      <c r="A21" t="s" s="6">
        <v>31</v>
      </c>
      <c r="B21" t="s" s="6">
        <v>15</v>
      </c>
      <c r="C21" t="n" s="6">
        <v>5.0</v>
      </c>
      <c r="D21" t="n" s="21">
        <v>18.0</v>
      </c>
      <c r="E21" t="n" s="10">
        <v>4.0</v>
      </c>
      <c r="F21" t="n" s="10">
        <v>4.0</v>
      </c>
      <c r="G21" t="n" s="10">
        <v>4.0</v>
      </c>
      <c r="H21" t="n" s="10">
        <v>72.0</v>
      </c>
    </row>
    <row r="22">
      <c r="A22" t="s" s="6">
        <v>32</v>
      </c>
      <c r="B22" t="s" s="6">
        <v>15</v>
      </c>
      <c r="C22" t="n" s="6">
        <v>5.0</v>
      </c>
      <c r="D22" t="n" s="6">
        <v>1.0</v>
      </c>
      <c r="E22" t="n" s="29">
        <v>9.33</v>
      </c>
      <c r="F22" t="n" s="29">
        <v>9.33</v>
      </c>
      <c r="G22" t="n" s="29">
        <v>9.33</v>
      </c>
      <c r="H22" t="n" s="10">
        <v>9.33</v>
      </c>
    </row>
    <row r="23">
      <c r="A23" t="s" s="6">
        <v>33</v>
      </c>
      <c r="B23" t="s" s="6">
        <v>15</v>
      </c>
      <c r="C23" t="n" s="6">
        <v>5.0</v>
      </c>
      <c r="D23" t="n" s="6">
        <v>1.0</v>
      </c>
      <c r="E23" t="n" s="25">
        <v>16.0</v>
      </c>
      <c r="F23" t="n" s="25">
        <v>16.0</v>
      </c>
      <c r="G23" t="n" s="25">
        <v>16.0</v>
      </c>
      <c r="H23" t="n" s="10">
        <v>16.0</v>
      </c>
    </row>
    <row r="24">
      <c r="A24" t="s" s="6">
        <v>34</v>
      </c>
      <c r="B24" t="s" s="6">
        <v>15</v>
      </c>
      <c r="C24" t="n" s="6">
        <v>5.0</v>
      </c>
      <c r="D24" t="n" s="6">
        <v>1.0</v>
      </c>
      <c r="E24" t="n" s="10">
        <v>5.5</v>
      </c>
      <c r="F24" t="n" s="10">
        <v>5.5</v>
      </c>
      <c r="G24" t="n" s="10">
        <v>5.5</v>
      </c>
      <c r="H24" t="n" s="10">
        <v>5.5</v>
      </c>
    </row>
    <row r="25">
      <c r="A25" t="s" s="6">
        <v>35</v>
      </c>
      <c r="B25" t="s" s="6">
        <v>15</v>
      </c>
      <c r="C25" t="n" s="6">
        <v>5.0</v>
      </c>
      <c r="D25" t="n" s="6">
        <v>1.0</v>
      </c>
      <c r="E25" t="n" s="10">
        <v>0.92</v>
      </c>
      <c r="F25" t="n" s="10">
        <v>0.92</v>
      </c>
      <c r="G25" t="n" s="10">
        <v>0.92</v>
      </c>
      <c r="H25" t="n" s="10">
        <v>0.92</v>
      </c>
    </row>
    <row r="26">
      <c r="A26" t="s" s="6">
        <v>36</v>
      </c>
      <c r="B26" t="s" s="6">
        <v>15</v>
      </c>
      <c r="C26" t="n" s="6">
        <v>5.0</v>
      </c>
      <c r="D26" t="n" s="6">
        <v>1.0</v>
      </c>
      <c r="E26" t="n" s="27">
        <v>12.0</v>
      </c>
      <c r="F26" t="n" s="27">
        <v>12.0</v>
      </c>
      <c r="G26" t="n" s="27">
        <v>12.0</v>
      </c>
      <c r="H26" t="n" s="10">
        <v>12.0</v>
      </c>
    </row>
    <row r="27">
      <c r="A27" t="s" s="6">
        <v>37</v>
      </c>
      <c r="B27" t="s" s="6">
        <v>15</v>
      </c>
      <c r="C27" t="n" s="6">
        <v>5.0</v>
      </c>
      <c r="D27" t="n" s="21">
        <v>18.0</v>
      </c>
      <c r="E27" t="n" s="10">
        <v>4.17</v>
      </c>
      <c r="F27" t="n" s="10">
        <v>4.17</v>
      </c>
      <c r="G27" t="n" s="10">
        <v>4.17</v>
      </c>
      <c r="H27" t="n" s="10">
        <v>75.0</v>
      </c>
    </row>
    <row r="28">
      <c r="A28" t="s" s="6">
        <v>38</v>
      </c>
      <c r="B28" t="s" s="6">
        <v>15</v>
      </c>
      <c r="C28" t="n" s="6">
        <v>5.0</v>
      </c>
      <c r="D28" t="n" s="21">
        <v>18.0</v>
      </c>
      <c r="E28" t="n" s="10">
        <v>5.0</v>
      </c>
      <c r="F28" t="n" s="10">
        <v>5.0</v>
      </c>
      <c r="G28" t="n" s="10">
        <v>5.0</v>
      </c>
      <c r="H28" t="n" s="10">
        <v>90.0</v>
      </c>
    </row>
    <row r="29">
      <c r="A29" t="s" s="6">
        <v>39</v>
      </c>
      <c r="B29" t="s" s="6">
        <v>15</v>
      </c>
      <c r="C29" t="n" s="6">
        <v>5.0</v>
      </c>
      <c r="D29" t="n" s="21">
        <v>18.0</v>
      </c>
      <c r="E29" t="n" s="10">
        <v>7.5</v>
      </c>
      <c r="F29" t="n" s="10">
        <v>7.5</v>
      </c>
      <c r="G29" t="n" s="10">
        <v>7.5</v>
      </c>
      <c r="H29" t="n" s="29">
        <v>135.0</v>
      </c>
    </row>
    <row r="30">
      <c r="A30" t="s" s="6">
        <v>40</v>
      </c>
      <c r="B30" t="s" s="6">
        <v>15</v>
      </c>
      <c r="C30" t="n" s="6">
        <v>5.0</v>
      </c>
      <c r="D30" t="n" s="21">
        <v>18.0</v>
      </c>
      <c r="E30" t="n" s="10">
        <v>4.33</v>
      </c>
      <c r="F30" t="n" s="10">
        <v>4.33</v>
      </c>
      <c r="G30" t="n" s="10">
        <v>4.33</v>
      </c>
      <c r="H30" t="n" s="10">
        <v>78.0</v>
      </c>
    </row>
    <row r="32">
      <c r="A32" s="71" t="s">
        <v>42</v>
      </c>
      <c r="B32" s="76"/>
    </row>
    <row r="33">
      <c r="A33" s="75" t="s">
        <v>43</v>
      </c>
      <c r="B33" s="77"/>
    </row>
    <row r="34">
      <c r="A34" s="75" t="s">
        <v>44</v>
      </c>
      <c r="B34" s="67" t="s">
        <v>45</v>
      </c>
    </row>
    <row r="35">
      <c r="A35" t="s" s="15">
        <v>46</v>
      </c>
      <c r="B35" s="40" t="s">
        <v>46</v>
      </c>
    </row>
    <row r="36">
      <c r="A36" s="16" t="s">
        <v>47</v>
      </c>
      <c r="B36" s="41" t="s">
        <v>47</v>
      </c>
    </row>
    <row r="37">
      <c r="A37" s="17" t="s">
        <v>48</v>
      </c>
      <c r="B37" s="42" t="s">
        <v>48</v>
      </c>
    </row>
    <row r="38">
      <c r="A38" s="18" t="s">
        <v>49</v>
      </c>
      <c r="B38" s="43" t="s">
        <v>49</v>
      </c>
    </row>
    <row r="39">
      <c r="A39" s="19" t="s">
        <v>50</v>
      </c>
      <c r="B39" s="44" t="s">
        <v>50</v>
      </c>
    </row>
    <row r="40">
      <c r="A40" s="78" t="s">
        <v>51</v>
      </c>
      <c r="B40" s="68" t="s">
        <v>51</v>
      </c>
    </row>
  </sheetData>
  <mergeCells count="3">
    <mergeCell ref="A7:F7"/>
    <mergeCell ref="A13:F13"/>
    <mergeCell ref="A33:B3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sheetViews>
  <sheetFormatPr baseColWidth="10" defaultRowHeight="15" x14ac:dyDescent="0.25"/>
  <cols>
    <col min="1" max="1" bestFit="true" customWidth="true" width="7.89453125"/>
    <col min="2" max="2" bestFit="true" customWidth="true" width="44.44140625"/>
  </cols>
  <sheetData>
    <row r="1">
      <c r="A1" t="s" s="71">
        <v>0</v>
      </c>
      <c r="B1" t="s" s="72">
        <v>1</v>
      </c>
    </row>
    <row r="2">
      <c r="A2" t="s" s="69">
        <v>2</v>
      </c>
      <c r="B2" t="s" s="67">
        <v>3</v>
      </c>
    </row>
    <row r="3">
      <c r="A3" t="s" s="69">
        <v>4</v>
      </c>
      <c r="B3" t="s" s="67">
        <v>5</v>
      </c>
    </row>
    <row r="4">
      <c r="A4" t="s" s="69">
        <v>6</v>
      </c>
      <c r="B4" t="s" s="67">
        <v>7</v>
      </c>
    </row>
    <row r="5">
      <c r="A5" t="s" s="70">
        <v>8</v>
      </c>
      <c r="B5" t="s" s="68">
        <v>9</v>
      </c>
    </row>
    <row r="9" spans="13:13" x14ac:dyDescent="0.25">
      <c r="M9" s="1"/>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zoomScaleNormal="100" workbookViewId="0"/>
  </sheetViews>
  <sheetFormatPr baseColWidth="20" defaultColWidth="21.7109375" defaultRowHeight="15" x14ac:dyDescent="0.25"/>
  <cols>
    <col min="7" max="7" bestFit="true" customWidth="true" width="17.26171875" collapsed="true"/>
    <col min="1" max="1" bestFit="true" customWidth="true" width="35.8203125"/>
    <col min="2" max="2" bestFit="true" customWidth="true" width="44.44140625"/>
    <col min="3" max="3" bestFit="true" customWidth="true" width="17.26171875"/>
    <col min="4" max="4" bestFit="true" customWidth="true" width="19.56640625"/>
    <col min="5" max="5" bestFit="true" customWidth="true" width="17.26171875"/>
    <col min="6" max="6" bestFit="true" customWidth="true" width="18.26171875" collapsed="true"/>
    <col min="8" max="8" bestFit="true" customWidth="true" width="17.26171875"/>
  </cols>
  <sheetData>
    <row r="1">
      <c r="A1" t="s" s="71">
        <v>0</v>
      </c>
      <c r="B1" t="s" s="72">
        <v>1</v>
      </c>
    </row>
    <row r="2">
      <c r="A2" t="s" s="69">
        <v>2</v>
      </c>
      <c r="B2" t="s" s="67">
        <v>3</v>
      </c>
    </row>
    <row r="3">
      <c r="A3" t="s" s="69">
        <v>4</v>
      </c>
      <c r="B3" t="s" s="67">
        <v>5</v>
      </c>
    </row>
    <row r="4">
      <c r="A4" t="s" s="69">
        <v>6</v>
      </c>
      <c r="B4" t="s" s="67">
        <v>7</v>
      </c>
    </row>
    <row r="5">
      <c r="A5" t="s" s="70">
        <v>8</v>
      </c>
      <c r="B5" t="s" s="68">
        <v>9</v>
      </c>
    </row>
    <row r="7" ht="15" customHeight="1" x14ac:dyDescent="0.25"/>
    <row r="8" ht="30.0" customHeight="true">
      <c r="A8" t="s" s="2">
        <v>53</v>
      </c>
    </row>
    <row r="10">
      <c r="A10" t="s" s="5">
        <v>10</v>
      </c>
      <c r="B10" t="s" s="5">
        <v>11</v>
      </c>
      <c r="C10" t="s" s="5">
        <v>19</v>
      </c>
      <c r="D10" t="s" s="5">
        <v>20</v>
      </c>
      <c r="E10" t="s" s="5">
        <v>21</v>
      </c>
      <c r="F10" t="s" s="5">
        <v>12</v>
      </c>
    </row>
    <row r="11">
      <c r="A11" t="s" s="8">
        <v>15</v>
      </c>
      <c r="B11" t="n" s="6">
        <v>5.0</v>
      </c>
      <c r="C11" t="n" s="8">
        <v>0.5945138888888889</v>
      </c>
      <c r="D11" t="n" s="8">
        <v>0.2326388888888889</v>
      </c>
      <c r="E11" t="n" s="8">
        <v>1.7881944444444444</v>
      </c>
      <c r="F11" t="n" s="8">
        <v>10.70138888888889</v>
      </c>
    </row>
    <row r="14">
      <c r="A14" t="s" s="4">
        <v>54</v>
      </c>
    </row>
    <row r="15" ht="30.0" customHeight="true">
      <c r="A15" t="s" s="2">
        <v>56</v>
      </c>
    </row>
    <row r="17" ht="30.0" customHeight="true">
      <c r="A17" t="s" s="5">
        <v>24</v>
      </c>
      <c r="B17" t="s" s="5">
        <v>10</v>
      </c>
      <c r="C17" t="s" s="5">
        <v>11</v>
      </c>
      <c r="D17" t="s" s="5">
        <v>25</v>
      </c>
      <c r="E17" t="s" s="5">
        <v>19</v>
      </c>
      <c r="F17" t="s" s="5">
        <v>20</v>
      </c>
      <c r="G17" t="s" s="5">
        <v>21</v>
      </c>
      <c r="H17" t="s" s="5">
        <v>58</v>
      </c>
    </row>
    <row r="18">
      <c r="A18" t="s" s="6">
        <v>26</v>
      </c>
      <c r="B18" t="s" s="6">
        <v>15</v>
      </c>
      <c r="C18" t="n" s="6">
        <v>5.0</v>
      </c>
      <c r="D18" t="n" s="20">
        <v>20.0</v>
      </c>
      <c r="E18" t="n" s="8">
        <v>0.020833333333333332</v>
      </c>
      <c r="F18" t="n" s="8">
        <v>0.020833333333333332</v>
      </c>
      <c r="G18" t="n" s="8">
        <v>0.020833333333333332</v>
      </c>
      <c r="H18" t="n" s="8">
        <v>0.4166666666666667</v>
      </c>
    </row>
    <row r="19">
      <c r="A19" t="s" s="6">
        <v>27</v>
      </c>
      <c r="B19" t="s" s="6">
        <v>15</v>
      </c>
      <c r="C19" t="n" s="6">
        <v>5.0</v>
      </c>
      <c r="D19" t="n" s="20">
        <v>20.0</v>
      </c>
      <c r="E19" t="n" s="8">
        <v>0.03125</v>
      </c>
      <c r="F19" t="n" s="8">
        <v>0.03125</v>
      </c>
      <c r="G19" t="n" s="8">
        <v>0.03125</v>
      </c>
      <c r="H19" t="n" s="8">
        <v>0.625</v>
      </c>
    </row>
    <row r="20">
      <c r="A20" t="s" s="6">
        <v>28</v>
      </c>
      <c r="B20" t="s" s="6">
        <v>15</v>
      </c>
      <c r="C20" t="n" s="6">
        <v>5.0</v>
      </c>
      <c r="D20" t="n" s="21">
        <v>19.0</v>
      </c>
      <c r="E20" t="n" s="35">
        <v>0.1820138888888889</v>
      </c>
      <c r="F20" t="n" s="39">
        <v>0.041666666666666664</v>
      </c>
      <c r="G20" t="n" s="35">
        <v>0.7083333333333334</v>
      </c>
      <c r="H20" t="n" s="35">
        <v>3.5</v>
      </c>
    </row>
    <row r="21">
      <c r="A21" t="s" s="6">
        <v>29</v>
      </c>
      <c r="B21" t="s" s="6">
        <v>15</v>
      </c>
      <c r="C21" t="n" s="6">
        <v>5.0</v>
      </c>
      <c r="D21" t="n" s="21">
        <v>19.0</v>
      </c>
      <c r="E21" t="n" s="8">
        <v>0.034722222222222224</v>
      </c>
      <c r="F21" t="n" s="8">
        <v>0.034722222222222224</v>
      </c>
      <c r="G21" t="n" s="8">
        <v>0.034722222222222224</v>
      </c>
      <c r="H21" t="n" s="8">
        <v>0.6597222222222222</v>
      </c>
    </row>
    <row r="22">
      <c r="A22" t="s" s="6">
        <v>30</v>
      </c>
      <c r="B22" t="s" s="6">
        <v>15</v>
      </c>
      <c r="C22" t="n" s="6">
        <v>5.0</v>
      </c>
      <c r="D22" t="n" s="21">
        <v>19.0</v>
      </c>
      <c r="E22" t="n" s="8">
        <v>0.003472222222222222</v>
      </c>
      <c r="F22" t="n" s="8">
        <v>0.003472222222222222</v>
      </c>
      <c r="G22" t="n" s="8">
        <v>0.003472222222222222</v>
      </c>
      <c r="H22" t="n" s="8">
        <v>0.06597222222222222</v>
      </c>
    </row>
    <row r="23">
      <c r="A23" t="s" s="6">
        <v>31</v>
      </c>
      <c r="B23" t="s" s="6">
        <v>15</v>
      </c>
      <c r="C23" t="n" s="6">
        <v>5.0</v>
      </c>
      <c r="D23" t="n" s="21">
        <v>18.0</v>
      </c>
      <c r="E23" t="n" s="8">
        <v>0.013888888888888888</v>
      </c>
      <c r="F23" t="n" s="8">
        <v>0.013888888888888888</v>
      </c>
      <c r="G23" t="n" s="8">
        <v>0.013888888888888888</v>
      </c>
      <c r="H23" t="n" s="8">
        <v>0.25</v>
      </c>
    </row>
    <row r="24">
      <c r="A24" t="s" s="6">
        <v>32</v>
      </c>
      <c r="B24" t="s" s="6">
        <v>15</v>
      </c>
      <c r="C24" t="n" s="6">
        <v>5.0</v>
      </c>
      <c r="D24" t="n" s="6">
        <v>1.0</v>
      </c>
      <c r="E24" t="n" s="8">
        <v>0.027777777777777776</v>
      </c>
      <c r="F24" t="n" s="8">
        <v>0.027777777777777776</v>
      </c>
      <c r="G24" t="n" s="8">
        <v>0.027777777777777776</v>
      </c>
      <c r="H24" t="n" s="8">
        <v>0.027777777777777776</v>
      </c>
    </row>
    <row r="25">
      <c r="A25" t="s" s="6">
        <v>33</v>
      </c>
      <c r="B25" t="s" s="6">
        <v>15</v>
      </c>
      <c r="C25" t="n" s="6">
        <v>5.0</v>
      </c>
      <c r="D25" t="n" s="6">
        <v>1.0</v>
      </c>
      <c r="E25" t="n" s="8">
        <v>0.08333333333333333</v>
      </c>
      <c r="F25" t="n" s="35">
        <v>0.08333333333333333</v>
      </c>
      <c r="G25" t="n" s="8">
        <v>0.08333333333333333</v>
      </c>
      <c r="H25" t="n" s="8">
        <v>0.08333333333333333</v>
      </c>
    </row>
    <row r="26">
      <c r="A26" t="s" s="6">
        <v>34</v>
      </c>
      <c r="B26" t="s" s="6">
        <v>15</v>
      </c>
      <c r="C26" t="n" s="6">
        <v>5.0</v>
      </c>
      <c r="D26" t="n" s="6">
        <v>1.0</v>
      </c>
      <c r="E26" t="n" s="8">
        <v>0.020833333333333332</v>
      </c>
      <c r="F26" t="n" s="8">
        <v>0.020833333333333332</v>
      </c>
      <c r="G26" t="n" s="8">
        <v>0.020833333333333332</v>
      </c>
      <c r="H26" t="n" s="8">
        <v>0.020833333333333332</v>
      </c>
    </row>
    <row r="27">
      <c r="A27" t="s" s="6">
        <v>35</v>
      </c>
      <c r="B27" t="s" s="6">
        <v>15</v>
      </c>
      <c r="C27" t="n" s="6">
        <v>5.0</v>
      </c>
      <c r="D27" t="n" s="6">
        <v>1.0</v>
      </c>
      <c r="E27" t="n" s="8">
        <v>0.003472222222222222</v>
      </c>
      <c r="F27" t="n" s="8">
        <v>0.003472222222222222</v>
      </c>
      <c r="G27" t="n" s="8">
        <v>0.003472222222222222</v>
      </c>
      <c r="H27" t="n" s="8">
        <v>0.003472222222222222</v>
      </c>
    </row>
    <row r="28">
      <c r="A28" t="s" s="6">
        <v>36</v>
      </c>
      <c r="B28" t="s" s="6">
        <v>15</v>
      </c>
      <c r="C28" t="n" s="6">
        <v>5.0</v>
      </c>
      <c r="D28" t="n" s="6">
        <v>1.0</v>
      </c>
      <c r="E28" t="n" s="8">
        <v>0.0625</v>
      </c>
      <c r="F28" t="n" s="37">
        <v>0.0625</v>
      </c>
      <c r="G28" t="n" s="8">
        <v>0.0625</v>
      </c>
      <c r="H28" t="n" s="8">
        <v>0.0625</v>
      </c>
    </row>
    <row r="29">
      <c r="A29" t="s" s="6">
        <v>37</v>
      </c>
      <c r="B29" t="s" s="6">
        <v>15</v>
      </c>
      <c r="C29" t="n" s="6">
        <v>5.0</v>
      </c>
      <c r="D29" t="n" s="21">
        <v>18.0</v>
      </c>
      <c r="E29" t="n" s="36">
        <v>0.16550925925925927</v>
      </c>
      <c r="F29" t="n" s="8">
        <v>0.017361111111111112</v>
      </c>
      <c r="G29" t="n" s="36">
        <v>0.6840277777777778</v>
      </c>
      <c r="H29" t="n" s="37">
        <v>3.0104166666666665</v>
      </c>
    </row>
    <row r="30">
      <c r="A30" t="s" s="6">
        <v>38</v>
      </c>
      <c r="B30" t="s" s="6">
        <v>15</v>
      </c>
      <c r="C30" t="n" s="6">
        <v>5.0</v>
      </c>
      <c r="D30" t="n" s="21">
        <v>18.0</v>
      </c>
      <c r="E30" t="n" s="8">
        <v>0.020833333333333332</v>
      </c>
      <c r="F30" t="n" s="8">
        <v>0.020833333333333332</v>
      </c>
      <c r="G30" t="n" s="8">
        <v>0.020833333333333332</v>
      </c>
      <c r="H30" t="n" s="8">
        <v>0.375</v>
      </c>
    </row>
    <row r="31">
      <c r="A31" t="s" s="6">
        <v>39</v>
      </c>
      <c r="B31" t="s" s="6">
        <v>15</v>
      </c>
      <c r="C31" t="n" s="6">
        <v>5.0</v>
      </c>
      <c r="D31" t="n" s="21">
        <v>18.0</v>
      </c>
      <c r="E31" t="n" s="8">
        <v>0.06828703703703703</v>
      </c>
      <c r="F31" t="n" s="8">
        <v>0.03125</v>
      </c>
      <c r="G31" t="n" s="36">
        <v>0.6979166666666666</v>
      </c>
      <c r="H31" t="n" s="8">
        <v>1.2291666666666667</v>
      </c>
    </row>
    <row r="32">
      <c r="A32" t="s" s="6">
        <v>40</v>
      </c>
      <c r="B32" t="s" s="6">
        <v>15</v>
      </c>
      <c r="C32" t="n" s="6">
        <v>5.0</v>
      </c>
      <c r="D32" t="n" s="21">
        <v>18.0</v>
      </c>
      <c r="E32" t="n" s="8">
        <v>0.013888888888888888</v>
      </c>
      <c r="F32" t="n" s="8">
        <v>0.013888888888888888</v>
      </c>
      <c r="G32" t="n" s="8">
        <v>0.013888888888888888</v>
      </c>
      <c r="H32" t="n" s="8">
        <v>0.25</v>
      </c>
    </row>
    <row r="35">
      <c r="A35" t="s" s="4">
        <v>59</v>
      </c>
    </row>
    <row r="36" ht="60.0" customHeight="true">
      <c r="A36" t="s" s="2">
        <v>61</v>
      </c>
    </row>
    <row r="38" ht="30.0" customHeight="true">
      <c r="A38" t="s" s="5">
        <v>24</v>
      </c>
      <c r="B38" t="s" s="5">
        <v>10</v>
      </c>
      <c r="C38" t="s" s="5">
        <v>11</v>
      </c>
      <c r="D38" t="s" s="5">
        <v>25</v>
      </c>
      <c r="E38" t="s" s="5">
        <v>19</v>
      </c>
      <c r="F38" t="s" s="5">
        <v>20</v>
      </c>
      <c r="G38" t="s" s="5">
        <v>21</v>
      </c>
      <c r="H38" t="s" s="5">
        <v>58</v>
      </c>
    </row>
    <row r="39">
      <c r="A39" t="s" s="6">
        <v>26</v>
      </c>
      <c r="B39" t="s" s="6">
        <v>15</v>
      </c>
      <c r="C39" t="n" s="6">
        <v>5.0</v>
      </c>
      <c r="D39" t="n" s="20">
        <v>20.0</v>
      </c>
      <c r="E39" t="n" s="8">
        <v>0.020833333333333332</v>
      </c>
      <c r="F39" t="n" s="8">
        <v>0.020833333333333332</v>
      </c>
      <c r="G39" t="n" s="8">
        <v>0.020833333333333332</v>
      </c>
      <c r="H39" t="n" s="39">
        <v>0.4166666666666667</v>
      </c>
    </row>
    <row r="40">
      <c r="A40" t="s" s="6">
        <v>27</v>
      </c>
      <c r="B40" t="s" s="6">
        <v>15</v>
      </c>
      <c r="C40" t="n" s="6">
        <v>5.0</v>
      </c>
      <c r="D40" t="n" s="20">
        <v>20.0</v>
      </c>
      <c r="E40" t="n" s="8">
        <v>0.03125</v>
      </c>
      <c r="F40" t="n" s="8">
        <v>0.03125</v>
      </c>
      <c r="G40" t="n" s="8">
        <v>0.03125</v>
      </c>
      <c r="H40" t="n" s="37">
        <v>0.625</v>
      </c>
    </row>
    <row r="41">
      <c r="A41" t="s" s="6">
        <v>28</v>
      </c>
      <c r="B41" t="s" s="6">
        <v>15</v>
      </c>
      <c r="C41" t="n" s="6">
        <v>5.0</v>
      </c>
      <c r="D41" t="n" s="21">
        <v>19.0</v>
      </c>
      <c r="E41" t="n" s="39">
        <v>0.041666666666666664</v>
      </c>
      <c r="F41" t="n" s="39">
        <v>0.041666666666666664</v>
      </c>
      <c r="G41" t="n" s="39">
        <v>0.041666666666666664</v>
      </c>
      <c r="H41" t="n" s="35">
        <v>0.8333333333333334</v>
      </c>
    </row>
    <row r="42">
      <c r="A42" t="s" s="6">
        <v>29</v>
      </c>
      <c r="B42" t="s" s="6">
        <v>15</v>
      </c>
      <c r="C42" t="n" s="6">
        <v>5.0</v>
      </c>
      <c r="D42" t="n" s="21">
        <v>19.0</v>
      </c>
      <c r="E42" t="n" s="8">
        <v>0.034722222222222224</v>
      </c>
      <c r="F42" t="n" s="8">
        <v>0.034722222222222224</v>
      </c>
      <c r="G42" t="n" s="8">
        <v>0.034722222222222224</v>
      </c>
      <c r="H42" t="n" s="37">
        <v>0.6597222222222222</v>
      </c>
    </row>
    <row r="43">
      <c r="A43" t="s" s="6">
        <v>30</v>
      </c>
      <c r="B43" t="s" s="6">
        <v>15</v>
      </c>
      <c r="C43" t="n" s="6">
        <v>5.0</v>
      </c>
      <c r="D43" t="n" s="21">
        <v>19.0</v>
      </c>
      <c r="E43" t="n" s="8">
        <v>0.003472222222222222</v>
      </c>
      <c r="F43" t="n" s="8">
        <v>0.003472222222222222</v>
      </c>
      <c r="G43" t="n" s="8">
        <v>0.003472222222222222</v>
      </c>
      <c r="H43" t="n" s="8">
        <v>0.06597222222222222</v>
      </c>
    </row>
    <row r="44">
      <c r="A44" t="s" s="6">
        <v>31</v>
      </c>
      <c r="B44" t="s" s="6">
        <v>15</v>
      </c>
      <c r="C44" t="n" s="6">
        <v>5.0</v>
      </c>
      <c r="D44" t="n" s="21">
        <v>18.0</v>
      </c>
      <c r="E44" t="n" s="8">
        <v>0.013888888888888888</v>
      </c>
      <c r="F44" t="n" s="8">
        <v>0.013888888888888888</v>
      </c>
      <c r="G44" t="n" s="8">
        <v>0.013888888888888888</v>
      </c>
      <c r="H44" t="n" s="8">
        <v>0.25</v>
      </c>
    </row>
    <row r="45">
      <c r="A45" t="s" s="6">
        <v>32</v>
      </c>
      <c r="B45" t="s" s="6">
        <v>15</v>
      </c>
      <c r="C45" t="n" s="6">
        <v>5.0</v>
      </c>
      <c r="D45" t="n" s="6">
        <v>1.0</v>
      </c>
      <c r="E45" t="n" s="8">
        <v>0.027777777777777776</v>
      </c>
      <c r="F45" t="n" s="8">
        <v>0.027777777777777776</v>
      </c>
      <c r="G45" t="n" s="8">
        <v>0.027777777777777776</v>
      </c>
      <c r="H45" t="n" s="8">
        <v>0.027777777777777776</v>
      </c>
    </row>
    <row r="46">
      <c r="A46" t="s" s="6">
        <v>33</v>
      </c>
      <c r="B46" t="s" s="6">
        <v>15</v>
      </c>
      <c r="C46" t="n" s="6">
        <v>5.0</v>
      </c>
      <c r="D46" t="n" s="6">
        <v>1.0</v>
      </c>
      <c r="E46" t="n" s="35">
        <v>0.08333333333333333</v>
      </c>
      <c r="F46" t="n" s="35">
        <v>0.08333333333333333</v>
      </c>
      <c r="G46" t="n" s="35">
        <v>0.08333333333333333</v>
      </c>
      <c r="H46" t="n" s="8">
        <v>0.08333333333333333</v>
      </c>
    </row>
    <row r="47">
      <c r="A47" t="s" s="6">
        <v>34</v>
      </c>
      <c r="B47" t="s" s="6">
        <v>15</v>
      </c>
      <c r="C47" t="n" s="6">
        <v>5.0</v>
      </c>
      <c r="D47" t="n" s="6">
        <v>1.0</v>
      </c>
      <c r="E47" t="n" s="8">
        <v>0.020833333333333332</v>
      </c>
      <c r="F47" t="n" s="8">
        <v>0.020833333333333332</v>
      </c>
      <c r="G47" t="n" s="8">
        <v>0.020833333333333332</v>
      </c>
      <c r="H47" t="n" s="8">
        <v>0.020833333333333332</v>
      </c>
    </row>
    <row r="48">
      <c r="A48" t="s" s="6">
        <v>35</v>
      </c>
      <c r="B48" t="s" s="6">
        <v>15</v>
      </c>
      <c r="C48" t="n" s="6">
        <v>5.0</v>
      </c>
      <c r="D48" t="n" s="6">
        <v>1.0</v>
      </c>
      <c r="E48" t="n" s="8">
        <v>0.003472222222222222</v>
      </c>
      <c r="F48" t="n" s="8">
        <v>0.003472222222222222</v>
      </c>
      <c r="G48" t="n" s="8">
        <v>0.003472222222222222</v>
      </c>
      <c r="H48" t="n" s="8">
        <v>0.003472222222222222</v>
      </c>
    </row>
    <row r="49">
      <c r="A49" t="s" s="6">
        <v>36</v>
      </c>
      <c r="B49" t="s" s="6">
        <v>15</v>
      </c>
      <c r="C49" t="n" s="6">
        <v>5.0</v>
      </c>
      <c r="D49" t="n" s="6">
        <v>1.0</v>
      </c>
      <c r="E49" t="n" s="37">
        <v>0.0625</v>
      </c>
      <c r="F49" t="n" s="37">
        <v>0.0625</v>
      </c>
      <c r="G49" t="n" s="37">
        <v>0.0625</v>
      </c>
      <c r="H49" t="n" s="8">
        <v>0.0625</v>
      </c>
    </row>
    <row r="50">
      <c r="A50" t="s" s="6">
        <v>37</v>
      </c>
      <c r="B50" t="s" s="6">
        <v>15</v>
      </c>
      <c r="C50" t="n" s="6">
        <v>5.0</v>
      </c>
      <c r="D50" t="n" s="21">
        <v>18.0</v>
      </c>
      <c r="E50" t="n" s="8">
        <v>0.017361111111111112</v>
      </c>
      <c r="F50" t="n" s="8">
        <v>0.017361111111111112</v>
      </c>
      <c r="G50" t="n" s="8">
        <v>0.017361111111111112</v>
      </c>
      <c r="H50" t="n" s="8">
        <v>0.34375</v>
      </c>
    </row>
    <row r="51">
      <c r="A51" t="s" s="6">
        <v>38</v>
      </c>
      <c r="B51" t="s" s="6">
        <v>15</v>
      </c>
      <c r="C51" t="n" s="6">
        <v>5.0</v>
      </c>
      <c r="D51" t="n" s="21">
        <v>18.0</v>
      </c>
      <c r="E51" t="n" s="8">
        <v>0.020833333333333332</v>
      </c>
      <c r="F51" t="n" s="8">
        <v>0.020833333333333332</v>
      </c>
      <c r="G51" t="n" s="8">
        <v>0.020833333333333332</v>
      </c>
      <c r="H51" t="n" s="8">
        <v>0.375</v>
      </c>
    </row>
    <row r="52">
      <c r="A52" t="s" s="6">
        <v>39</v>
      </c>
      <c r="B52" t="s" s="6">
        <v>15</v>
      </c>
      <c r="C52" t="n" s="6">
        <v>5.0</v>
      </c>
      <c r="D52" t="n" s="21">
        <v>18.0</v>
      </c>
      <c r="E52" t="n" s="8">
        <v>0.03125</v>
      </c>
      <c r="F52" t="n" s="8">
        <v>0.03125</v>
      </c>
      <c r="G52" t="n" s="8">
        <v>0.03125</v>
      </c>
      <c r="H52" t="n" s="38">
        <v>0.5625</v>
      </c>
    </row>
    <row r="53">
      <c r="A53" t="s" s="6">
        <v>40</v>
      </c>
      <c r="B53" t="s" s="6">
        <v>15</v>
      </c>
      <c r="C53" t="n" s="6">
        <v>5.0</v>
      </c>
      <c r="D53" t="n" s="21">
        <v>18.0</v>
      </c>
      <c r="E53" t="n" s="8">
        <v>0.013888888888888888</v>
      </c>
      <c r="F53" t="n" s="8">
        <v>0.013888888888888888</v>
      </c>
      <c r="G53" t="n" s="8">
        <v>0.013888888888888888</v>
      </c>
      <c r="H53" t="n" s="8">
        <v>0.25</v>
      </c>
    </row>
    <row r="55">
      <c r="A55" s="71" t="s">
        <v>42</v>
      </c>
      <c r="B55" s="76"/>
    </row>
    <row r="56">
      <c r="A56" s="75" t="s">
        <v>43</v>
      </c>
      <c r="B56" s="77"/>
    </row>
    <row r="57">
      <c r="A57" s="75" t="s">
        <v>44</v>
      </c>
      <c r="B57" s="67" t="s">
        <v>45</v>
      </c>
    </row>
    <row r="58">
      <c r="A58" t="s" s="15">
        <v>46</v>
      </c>
      <c r="B58" s="40" t="s">
        <v>46</v>
      </c>
    </row>
    <row r="59">
      <c r="A59" s="16" t="s">
        <v>47</v>
      </c>
      <c r="B59" s="41" t="s">
        <v>47</v>
      </c>
    </row>
    <row r="60">
      <c r="A60" s="17" t="s">
        <v>48</v>
      </c>
      <c r="B60" s="42" t="s">
        <v>48</v>
      </c>
    </row>
    <row r="61">
      <c r="A61" s="18" t="s">
        <v>49</v>
      </c>
      <c r="B61" s="43" t="s">
        <v>49</v>
      </c>
    </row>
    <row r="62">
      <c r="A62" s="19" t="s">
        <v>50</v>
      </c>
      <c r="B62" s="44" t="s">
        <v>50</v>
      </c>
    </row>
    <row r="63">
      <c r="A63" s="78" t="s">
        <v>51</v>
      </c>
      <c r="B63" s="68" t="s">
        <v>51</v>
      </c>
    </row>
  </sheetData>
  <mergeCells count="6">
    <mergeCell ref="A8:F8"/>
    <mergeCell ref="A14:F14"/>
    <mergeCell ref="A15:F15"/>
    <mergeCell ref="A35:F35"/>
    <mergeCell ref="A36:F36"/>
    <mergeCell ref="A56:B5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44.4414062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zoomScaleNormal="100" workbookViewId="0"/>
  </sheetViews>
  <sheetFormatPr baseColWidth="20" defaultColWidth="21.7109375" defaultRowHeight="15" x14ac:dyDescent="0.25"/>
  <cols>
    <col min="1" max="1" bestFit="true" customWidth="true" width="22.3203125"/>
    <col min="2" max="2" bestFit="true" customWidth="true" width="44.44140625"/>
    <col min="3" max="3" bestFit="true" customWidth="true" width="15.6640625"/>
    <col min="4" max="4" bestFit="true" customWidth="true" width="17.26171875"/>
    <col min="5" max="5" bestFit="true" customWidth="true" width="9.45703125"/>
  </cols>
  <sheetData>
    <row r="1">
      <c r="A1" t="s" s="71">
        <v>0</v>
      </c>
      <c r="B1" t="s" s="72">
        <v>1</v>
      </c>
    </row>
    <row r="2">
      <c r="A2" t="s" s="69">
        <v>2</v>
      </c>
      <c r="B2" t="s" s="67">
        <v>3</v>
      </c>
    </row>
    <row r="3">
      <c r="A3" t="s" s="69">
        <v>4</v>
      </c>
      <c r="B3" t="s" s="67">
        <v>5</v>
      </c>
    </row>
    <row r="4">
      <c r="A4" t="s" s="69">
        <v>6</v>
      </c>
      <c r="B4" t="s" s="67">
        <v>7</v>
      </c>
    </row>
    <row r="5">
      <c r="A5" t="s" s="70">
        <v>8</v>
      </c>
      <c r="B5" t="s" s="68">
        <v>9</v>
      </c>
    </row>
    <row r="7" ht="30.0" customHeight="true">
      <c r="A7" t="s" s="2">
        <v>64</v>
      </c>
    </row>
    <row r="10">
      <c r="A10" t="s" s="5">
        <v>65</v>
      </c>
      <c r="B10" t="s" s="5">
        <v>10</v>
      </c>
      <c r="C10" t="s" s="5">
        <v>11</v>
      </c>
      <c r="D10" t="s" s="5">
        <v>66</v>
      </c>
      <c r="E10" t="s" s="5">
        <v>67</v>
      </c>
    </row>
    <row r="11">
      <c r="A11" t="s" s="6">
        <v>68</v>
      </c>
      <c r="B11" t="s" s="6">
        <v>15</v>
      </c>
      <c r="C11" t="n" s="6">
        <v>5.0</v>
      </c>
      <c r="D11" t="n" s="35">
        <v>1.2916666666666667</v>
      </c>
      <c r="E11" t="n" s="30">
        <v>0.775</v>
      </c>
    </row>
    <row r="12">
      <c r="A12" t="s" s="6">
        <v>16</v>
      </c>
      <c r="B12" t="s" s="6">
        <v>15</v>
      </c>
      <c r="C12" t="n" s="6">
        <v>5.0</v>
      </c>
      <c r="D12" t="n" s="37">
        <v>1.0833333333333333</v>
      </c>
      <c r="E12" t="n" s="32">
        <v>0.65</v>
      </c>
    </row>
    <row r="13">
      <c r="A13" t="s" s="6">
        <v>69</v>
      </c>
      <c r="B13" t="s" s="6">
        <v>15</v>
      </c>
      <c r="C13" t="n" s="6">
        <v>5.0</v>
      </c>
      <c r="D13" t="n" s="39">
        <v>0.7256944444444444</v>
      </c>
      <c r="E13" t="n" s="34">
        <v>0.4354</v>
      </c>
    </row>
    <row r="14">
      <c r="A14" t="s" s="6">
        <v>70</v>
      </c>
      <c r="B14" t="s" s="6">
        <v>15</v>
      </c>
      <c r="C14" t="n" s="6">
        <v>5.0</v>
      </c>
      <c r="D14" t="n" s="39">
        <v>0.7048611111111112</v>
      </c>
      <c r="E14" t="n" s="34">
        <v>0.4229</v>
      </c>
    </row>
    <row r="15">
      <c r="A15" t="s" s="6">
        <v>71</v>
      </c>
      <c r="B15" t="s" s="6">
        <v>15</v>
      </c>
      <c r="C15" t="n" s="6">
        <v>5.0</v>
      </c>
      <c r="D15" t="n" s="8">
        <v>0.5625</v>
      </c>
      <c r="E15" t="n" s="9">
        <v>0.3375</v>
      </c>
    </row>
    <row r="16">
      <c r="A16" t="s" s="6">
        <v>72</v>
      </c>
      <c r="B16" t="s" s="6">
        <v>15</v>
      </c>
      <c r="C16" t="n" s="6">
        <v>5.0</v>
      </c>
      <c r="D16" t="n" s="8">
        <v>0.14583333333333334</v>
      </c>
      <c r="E16" t="n" s="9">
        <v>0.0875</v>
      </c>
    </row>
    <row r="17">
      <c r="A17" t="s" s="6">
        <v>73</v>
      </c>
      <c r="B17" t="s" s="6">
        <v>15</v>
      </c>
      <c r="C17" t="n" s="6">
        <v>5.0</v>
      </c>
      <c r="D17" t="n" s="8">
        <v>0.027777777777777776</v>
      </c>
      <c r="E17" t="n" s="9">
        <v>0.0167</v>
      </c>
    </row>
    <row r="18">
      <c r="A18" t="s" s="6">
        <v>74</v>
      </c>
      <c r="B18" t="s" s="6">
        <v>15</v>
      </c>
      <c r="C18" t="n" s="6">
        <v>5.0</v>
      </c>
      <c r="D18" t="n" s="8">
        <v>0.024305555555555556</v>
      </c>
      <c r="E18" t="n" s="9">
        <v>0.0146</v>
      </c>
    </row>
    <row r="20">
      <c r="A20" s="71" t="s">
        <v>42</v>
      </c>
      <c r="B20" s="76"/>
    </row>
    <row r="21">
      <c r="A21" s="75" t="s">
        <v>43</v>
      </c>
      <c r="B21" s="77"/>
    </row>
    <row r="22">
      <c r="A22" s="75" t="s">
        <v>44</v>
      </c>
      <c r="B22" s="67" t="s">
        <v>45</v>
      </c>
    </row>
    <row r="23">
      <c r="A23" t="s" s="15">
        <v>46</v>
      </c>
      <c r="B23" s="40" t="s">
        <v>46</v>
      </c>
    </row>
    <row r="24">
      <c r="A24" s="16" t="s">
        <v>47</v>
      </c>
      <c r="B24" s="41" t="s">
        <v>47</v>
      </c>
    </row>
    <row r="25">
      <c r="A25" s="17" t="s">
        <v>48</v>
      </c>
      <c r="B25" s="42" t="s">
        <v>48</v>
      </c>
    </row>
    <row r="26">
      <c r="A26" s="18" t="s">
        <v>49</v>
      </c>
      <c r="B26" s="43" t="s">
        <v>49</v>
      </c>
    </row>
    <row r="27">
      <c r="A27" s="19" t="s">
        <v>50</v>
      </c>
      <c r="B27" s="44" t="s">
        <v>50</v>
      </c>
    </row>
    <row r="28">
      <c r="A28" s="78" t="s">
        <v>51</v>
      </c>
      <c r="B28" s="68" t="s">
        <v>51</v>
      </c>
    </row>
  </sheetData>
  <mergeCells count="2">
    <mergeCell ref="A7:F7"/>
    <mergeCell ref="A21:B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44.4414062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zoomScaleNormal="100" workbookViewId="0"/>
  </sheetViews>
  <sheetFormatPr baseColWidth="20" defaultColWidth="21.7109375" defaultRowHeight="15" x14ac:dyDescent="0.25"/>
  <cols>
    <col min="1" max="1" bestFit="true" customWidth="true" width="21.01171875"/>
    <col min="2" max="2" bestFit="true" customWidth="true" width="44.44140625"/>
    <col min="3" max="3" bestFit="true" customWidth="true" width="14.64453125"/>
    <col min="4" max="4" bestFit="true" customWidth="true" width="15.6640625"/>
    <col min="5" max="5" bestFit="true" customWidth="true" width="15.26171875"/>
    <col min="6" max="6" bestFit="true" customWidth="true" width="16.65234375"/>
  </cols>
  <sheetData>
    <row r="1">
      <c r="A1" t="s" s="71">
        <v>0</v>
      </c>
      <c r="B1" t="s" s="72">
        <v>1</v>
      </c>
    </row>
    <row r="2">
      <c r="A2" t="s" s="69">
        <v>2</v>
      </c>
      <c r="B2" t="s" s="67">
        <v>3</v>
      </c>
    </row>
    <row r="3">
      <c r="A3" t="s" s="69">
        <v>4</v>
      </c>
      <c r="B3" t="s" s="67">
        <v>5</v>
      </c>
    </row>
    <row r="4">
      <c r="A4" t="s" s="69">
        <v>6</v>
      </c>
      <c r="B4" t="s" s="67">
        <v>7</v>
      </c>
    </row>
    <row r="5">
      <c r="A5" t="s" s="70">
        <v>8</v>
      </c>
      <c r="B5" t="s" s="68">
        <v>9</v>
      </c>
    </row>
    <row r="7" ht="45.0" customHeight="true">
      <c r="A7" t="s" s="2">
        <v>77</v>
      </c>
    </row>
    <row r="10" ht="45.0" customHeight="true">
      <c r="A10" t="s" s="5">
        <v>65</v>
      </c>
      <c r="B10" t="s" s="5">
        <v>24</v>
      </c>
      <c r="C10" t="s" s="5">
        <v>10</v>
      </c>
      <c r="D10" t="s" s="5">
        <v>11</v>
      </c>
      <c r="E10" t="s" s="5">
        <v>80</v>
      </c>
      <c r="F10" t="s" s="5">
        <v>81</v>
      </c>
    </row>
    <row r="11">
      <c r="A11" t="s" s="6">
        <v>16</v>
      </c>
      <c r="B11" t="s" s="6">
        <v>40</v>
      </c>
      <c r="C11" t="s" s="6">
        <v>15</v>
      </c>
      <c r="D11" t="n" s="6">
        <v>5.0</v>
      </c>
      <c r="E11" t="n" s="35">
        <v>0.2361111111111111</v>
      </c>
      <c r="F11" t="n" s="6">
        <v>0.0</v>
      </c>
    </row>
    <row r="12">
      <c r="A12" s="81"/>
      <c r="B12" t="s" s="6">
        <v>28</v>
      </c>
      <c r="C12" t="s" s="6">
        <v>15</v>
      </c>
      <c r="D12" t="n" s="6">
        <v>5.0</v>
      </c>
      <c r="E12" t="n" s="39">
        <v>0.1388888888888889</v>
      </c>
      <c r="F12" t="n" s="6">
        <v>0.0</v>
      </c>
    </row>
    <row r="14">
      <c r="A14" s="71" t="s">
        <v>42</v>
      </c>
      <c r="B14" s="76"/>
    </row>
    <row r="15">
      <c r="A15" s="75" t="s">
        <v>43</v>
      </c>
      <c r="B15" s="77"/>
    </row>
    <row r="16">
      <c r="A16" s="75" t="s">
        <v>44</v>
      </c>
      <c r="B16" s="67" t="s">
        <v>45</v>
      </c>
    </row>
    <row r="17">
      <c r="A17" t="s" s="15">
        <v>46</v>
      </c>
      <c r="B17" s="40" t="s">
        <v>46</v>
      </c>
    </row>
    <row r="18">
      <c r="A18" s="16" t="s">
        <v>47</v>
      </c>
      <c r="B18" s="41" t="s">
        <v>47</v>
      </c>
    </row>
    <row r="19">
      <c r="A19" s="17" t="s">
        <v>48</v>
      </c>
      <c r="B19" s="42" t="s">
        <v>48</v>
      </c>
    </row>
    <row r="20">
      <c r="A20" s="18" t="s">
        <v>49</v>
      </c>
      <c r="B20" s="43" t="s">
        <v>49</v>
      </c>
    </row>
    <row r="21">
      <c r="A21" s="19" t="s">
        <v>50</v>
      </c>
      <c r="B21" s="44" t="s">
        <v>50</v>
      </c>
    </row>
    <row r="22">
      <c r="A22" s="78" t="s">
        <v>51</v>
      </c>
      <c r="B22" s="68" t="s">
        <v>51</v>
      </c>
    </row>
  </sheetData>
  <mergeCells count="3">
    <mergeCell ref="A7:F7"/>
    <mergeCell ref="A11:A12"/>
    <mergeCell ref="A15:B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44.4414062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s>
  <sheetFormatPr baseColWidth="10" defaultRowHeight="15" x14ac:dyDescent="0.25"/>
  <sheetData>
    <row r="1">
      <c r="A1" s="0">
        <f>Costs!A16</f>
      </c>
      <c r="B1" s="0">
        <f>Costs!H16</f>
      </c>
      <c r="D1" s="0">
        <f>'Total cycle time'!H39</f>
      </c>
      <c r="F1">
        <f>'Resource consumption'!D11</f>
      </c>
      <c r="H1">
        <f>Bottlenecks!E11</f>
      </c>
      <c r="J1" t="s">
        <v>41</v>
      </c>
    </row>
    <row r="2">
      <c r="A2" s="0">
        <f>Costs!A17</f>
      </c>
      <c r="B2" s="0">
        <f>Costs!H17</f>
      </c>
      <c r="D2" s="0">
        <f>'Total cycle time'!H40</f>
      </c>
      <c r="F2" s="0">
        <f>'Resource consumption'!D12</f>
      </c>
      <c r="H2">
        <f>Bottlenecks!E12</f>
      </c>
      <c r="J2" t="s">
        <v>62</v>
      </c>
    </row>
    <row r="3">
      <c r="A3" s="0">
        <f>Costs!A18</f>
      </c>
      <c r="B3" s="0">
        <f>Costs!H18</f>
      </c>
      <c r="D3" s="0">
        <f>'Total cycle time'!H41</f>
      </c>
      <c r="F3" s="0">
        <f>'Resource consumption'!D13</f>
      </c>
      <c r="H3" s="0">
        <f>Bottlenecks!E13</f>
      </c>
      <c r="J3" t="s">
        <v>75</v>
      </c>
    </row>
    <row r="4">
      <c r="A4" s="0">
        <f>Costs!A19</f>
      </c>
      <c r="B4" s="0">
        <f>Costs!H19</f>
      </c>
      <c r="D4" s="0">
        <f>'Total cycle time'!H42</f>
      </c>
      <c r="F4" s="0">
        <f>'Resource consumption'!D14</f>
      </c>
      <c r="H4" s="0">
        <f>Bottlenecks!E14</f>
      </c>
      <c r="J4" t="s" s="0">
        <v>82</v>
      </c>
    </row>
    <row r="5">
      <c r="A5" s="0">
        <f>Costs!A20</f>
      </c>
      <c r="B5" s="0">
        <f>Costs!H20</f>
      </c>
      <c r="D5" s="0">
        <f>'Total cycle time'!H43</f>
      </c>
      <c r="F5" s="0">
        <f>'Resource consumption'!D15</f>
      </c>
      <c r="H5" s="0">
        <f>Bottlenecks!E15</f>
      </c>
    </row>
    <row r="6">
      <c r="A6" s="0">
        <f>Costs!A21</f>
      </c>
      <c r="B6" s="0">
        <f>Costs!H21</f>
      </c>
      <c r="D6" s="0">
        <f>'Total cycle time'!H44</f>
      </c>
      <c r="F6" s="0">
        <f>'Resource consumption'!D16</f>
      </c>
      <c r="H6" s="0">
        <f>Bottlenecks!E16</f>
      </c>
    </row>
    <row r="7">
      <c r="A7" s="0">
        <f>Costs!A22</f>
      </c>
      <c r="B7" s="0">
        <f>Costs!H22</f>
      </c>
      <c r="D7" s="0">
        <f>'Total cycle time'!H45</f>
      </c>
      <c r="F7" s="0">
        <f>'Resource consumption'!D17</f>
      </c>
      <c r="H7" s="0">
        <f>Bottlenecks!E17</f>
      </c>
    </row>
    <row r="8">
      <c r="A8" s="0">
        <f>Costs!A23</f>
      </c>
      <c r="B8" s="0">
        <f>Costs!H23</f>
      </c>
      <c r="D8" s="0">
        <f>'Total cycle time'!H46</f>
      </c>
      <c r="F8" s="0">
        <f>'Resource consumption'!D18</f>
      </c>
      <c r="H8" s="0">
        <f>Bottlenecks!E18</f>
      </c>
    </row>
    <row r="9">
      <c r="A9" s="0">
        <f>Costs!A24</f>
      </c>
      <c r="B9" s="0">
        <f>Costs!H24</f>
      </c>
      <c r="D9" s="0">
        <f>'Total cycle time'!H47</f>
      </c>
      <c r="F9" s="0">
        <f>'Resource consumption'!A11</f>
      </c>
      <c r="H9" s="0">
        <f>Bottlenecks!E19</f>
      </c>
    </row>
    <row r="10">
      <c r="A10" s="0">
        <f>Costs!A25</f>
      </c>
      <c r="B10" s="0">
        <f>Costs!H25</f>
      </c>
      <c r="D10" s="0">
        <f>'Total cycle time'!H48</f>
      </c>
      <c r="F10" s="0">
        <f>'Resource consumption'!A12</f>
      </c>
      <c r="H10" s="0">
        <f>Bottlenecks!E20</f>
      </c>
    </row>
    <row r="11">
      <c r="A11" s="0">
        <f>Costs!A26</f>
      </c>
      <c r="B11" s="0">
        <f>Costs!H26</f>
      </c>
      <c r="D11" s="0">
        <f>'Total cycle time'!H49</f>
      </c>
      <c r="F11" s="0">
        <f>'Resource consumption'!A13</f>
      </c>
      <c r="H11" s="0">
        <f>Bottlenecks!E21</f>
      </c>
    </row>
    <row r="12">
      <c r="A12" s="0">
        <f>Costs!A27</f>
      </c>
      <c r="B12" s="0">
        <f>Costs!H27</f>
      </c>
      <c r="D12" s="0">
        <f>'Total cycle time'!H50</f>
      </c>
      <c r="F12" s="0">
        <f>'Resource consumption'!A14</f>
      </c>
      <c r="H12" s="0">
        <f>Bottlenecks!E22</f>
      </c>
    </row>
    <row r="13">
      <c r="A13" s="0">
        <f>Costs!A28</f>
      </c>
      <c r="B13" s="0">
        <f>Costs!H28</f>
      </c>
      <c r="D13" s="0">
        <f>'Total cycle time'!H51</f>
      </c>
      <c r="F13" s="0">
        <f>'Resource consumption'!A15</f>
      </c>
      <c r="H13" s="0">
        <f>Bottlenecks!E23</f>
      </c>
    </row>
    <row r="14">
      <c r="A14" s="0">
        <f>Costs!A29</f>
      </c>
      <c r="B14" s="0">
        <f>Costs!H29</f>
      </c>
      <c r="D14" s="0">
        <f>'Total cycle time'!H52</f>
      </c>
      <c r="F14" s="0">
        <f>'Resource consumption'!A16</f>
      </c>
      <c r="H14" s="0">
        <f>Bottlenecks!E24</f>
      </c>
    </row>
    <row r="15">
      <c r="A15" s="0">
        <f>Costs!A30</f>
      </c>
      <c r="B15" s="0">
        <f>Costs!H30</f>
      </c>
      <c r="D15" s="0">
        <f>'Total cycle time'!H53</f>
      </c>
      <c r="F15" s="0">
        <f>'Resource consumption'!A17</f>
      </c>
      <c r="H15" s="0">
        <f>Bottlenecks!E25</f>
      </c>
    </row>
    <row r="16">
      <c r="F16" s="0">
        <f>'Resource consumption'!A18</f>
      </c>
    </row>
  </sheetData>
  <pageMargins left="0.7" right="0.7" top="0.78740157499999996" bottom="0.78740157499999996" header="0.3" footer="0.3"/>
  <pageSetup orientation="portrait" r:id="rId1"/>
</worksheet>
</file>

<file path=xl/worksheets/sheet16.xml><?xml version="1.0" encoding="utf-8"?>
<worksheet xmlns="http://schemas.openxmlformats.org/spreadsheetml/2006/main">
  <dimension ref="A1:C49"/>
  <sheetViews>
    <sheetView workbookViewId="0"/>
  </sheetViews>
  <sheetFormatPr defaultRowHeight="15.0" baseColWidth="20" outlineLevelRow="2"/>
  <cols>
    <col min="1" max="1" width="35.8203125" customWidth="true" bestFit="true"/>
    <col min="2" max="2" width="44.44140625" customWidth="true" bestFit="true"/>
    <col min="3" max="3" width="14.253906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3">
        <v>83</v>
      </c>
    </row>
    <row r="8" outlineLevel="1"/>
    <row r="9" outlineLevel="1">
      <c r="A9" t="s" s="5">
        <v>24</v>
      </c>
      <c r="B9" t="s" s="5">
        <v>84</v>
      </c>
      <c r="C9" t="s" s="5">
        <v>85</v>
      </c>
    </row>
    <row r="10" outlineLevel="1">
      <c r="A10" t="s" s="6">
        <v>26</v>
      </c>
      <c r="B10" t="n" s="10">
        <v>0.0</v>
      </c>
      <c r="C10" t="s" s="7">
        <v>86</v>
      </c>
    </row>
    <row r="11" outlineLevel="1">
      <c r="A11" t="s" s="6">
        <v>27</v>
      </c>
      <c r="B11" t="n" s="10">
        <v>0.0</v>
      </c>
      <c r="C11" t="s" s="7">
        <v>87</v>
      </c>
    </row>
    <row r="12" outlineLevel="1">
      <c r="A12" t="s" s="6">
        <v>28</v>
      </c>
      <c r="B12" t="n" s="10">
        <v>0.0</v>
      </c>
      <c r="C12" t="s" s="7">
        <v>88</v>
      </c>
    </row>
    <row r="13" outlineLevel="1">
      <c r="A13" t="s" s="6">
        <v>29</v>
      </c>
      <c r="B13" t="n" s="10">
        <v>0.0</v>
      </c>
      <c r="C13" t="s" s="7">
        <v>89</v>
      </c>
    </row>
    <row r="14" outlineLevel="1">
      <c r="A14" t="s" s="6">
        <v>30</v>
      </c>
      <c r="B14" t="n" s="10">
        <v>0.0</v>
      </c>
      <c r="C14" t="s" s="7">
        <v>90</v>
      </c>
    </row>
    <row r="15" outlineLevel="1">
      <c r="A15" t="s" s="6">
        <v>31</v>
      </c>
      <c r="B15" t="n" s="10">
        <v>0.0</v>
      </c>
      <c r="C15" t="s" s="7">
        <v>91</v>
      </c>
    </row>
    <row r="16" outlineLevel="1">
      <c r="A16" t="s" s="6">
        <v>32</v>
      </c>
      <c r="B16" t="n" s="10">
        <v>0.0</v>
      </c>
      <c r="C16" t="s" s="7">
        <v>92</v>
      </c>
    </row>
    <row r="17" outlineLevel="1">
      <c r="A17" t="s" s="6">
        <v>33</v>
      </c>
      <c r="B17" t="n" s="10">
        <v>0.0</v>
      </c>
      <c r="C17" t="s" s="7">
        <v>93</v>
      </c>
    </row>
    <row r="18" outlineLevel="1">
      <c r="A18" t="s" s="6">
        <v>34</v>
      </c>
      <c r="B18" t="n" s="10">
        <v>0.0</v>
      </c>
      <c r="C18" t="s" s="7">
        <v>86</v>
      </c>
    </row>
    <row r="19" outlineLevel="1">
      <c r="A19" t="s" s="6">
        <v>35</v>
      </c>
      <c r="B19" t="n" s="10">
        <v>0.0</v>
      </c>
      <c r="C19" t="s" s="7">
        <v>90</v>
      </c>
    </row>
    <row r="20" outlineLevel="1">
      <c r="A20" t="s" s="6">
        <v>36</v>
      </c>
      <c r="B20" t="n" s="10">
        <v>0.0</v>
      </c>
      <c r="C20" t="s" s="7">
        <v>94</v>
      </c>
    </row>
    <row r="21" outlineLevel="1">
      <c r="A21" t="s" s="6">
        <v>37</v>
      </c>
      <c r="B21" t="n" s="10">
        <v>0.0</v>
      </c>
      <c r="C21" t="s" s="7">
        <v>95</v>
      </c>
    </row>
    <row r="22" outlineLevel="1">
      <c r="A22" t="s" s="6">
        <v>38</v>
      </c>
      <c r="B22" t="n" s="10">
        <v>0.0</v>
      </c>
      <c r="C22" t="s" s="7">
        <v>86</v>
      </c>
    </row>
    <row r="23" outlineLevel="1">
      <c r="A23" t="s" s="6">
        <v>39</v>
      </c>
      <c r="B23" t="n" s="10">
        <v>0.0</v>
      </c>
      <c r="C23" t="s" s="7">
        <v>87</v>
      </c>
    </row>
    <row r="24" outlineLevel="1">
      <c r="A24" t="s" s="6">
        <v>40</v>
      </c>
      <c r="B24" t="n" s="10">
        <v>0.0</v>
      </c>
      <c r="C24" t="s" s="7">
        <v>91</v>
      </c>
    </row>
    <row r="27">
      <c r="A27" s="3" t="s">
        <v>96</v>
      </c>
    </row>
    <row r="28" outlineLevel="1"/>
    <row r="29" outlineLevel="1">
      <c r="A29" t="s" s="5">
        <v>97</v>
      </c>
      <c r="B29" t="s" s="5">
        <v>98</v>
      </c>
    </row>
    <row r="30" outlineLevel="2">
      <c r="A30" t="s" s="6">
        <v>99</v>
      </c>
      <c r="B30" t="s" s="6">
        <v>100</v>
      </c>
    </row>
    <row r="31" outlineLevel="1"/>
    <row r="32" outlineLevel="1">
      <c r="A32" t="s" s="5">
        <v>101</v>
      </c>
      <c r="B32" t="s" s="5">
        <v>102</v>
      </c>
      <c r="C32" t="s" s="5">
        <v>103</v>
      </c>
    </row>
    <row r="33" outlineLevel="2">
      <c r="A33" t="s" s="6">
        <v>30</v>
      </c>
      <c r="B33" t="s" s="6">
        <v>104</v>
      </c>
      <c r="C33" t="n" s="9">
        <v>0.18</v>
      </c>
    </row>
    <row r="34" outlineLevel="2">
      <c r="A34" s="80"/>
      <c r="B34" t="s" s="6">
        <v>105</v>
      </c>
      <c r="C34" t="n" s="9">
        <v>0.82</v>
      </c>
    </row>
    <row r="35" outlineLevel="2">
      <c r="A35" t="s" s="6">
        <v>106</v>
      </c>
      <c r="B35" t="s" s="6">
        <v>107</v>
      </c>
      <c r="C35" t="n" s="9">
        <v>0.65</v>
      </c>
    </row>
    <row r="36" outlineLevel="2">
      <c r="A36" s="80"/>
      <c r="B36" t="s" s="6">
        <v>108</v>
      </c>
      <c r="C36" t="n" s="9">
        <v>0.35</v>
      </c>
    </row>
    <row r="39">
      <c r="A39" t="s" s="3">
        <v>65</v>
      </c>
    </row>
    <row r="40" outlineLevel="1"/>
    <row r="41" outlineLevel="1">
      <c r="A41" t="s" s="5">
        <v>109</v>
      </c>
      <c r="B41" t="s" s="5">
        <v>110</v>
      </c>
      <c r="C41" t="s" s="5">
        <v>111</v>
      </c>
    </row>
    <row r="42" outlineLevel="1">
      <c r="A42" t="s" s="6">
        <v>16</v>
      </c>
      <c r="B42" t="s" s="6">
        <v>112</v>
      </c>
      <c r="C42" t="n" s="10">
        <v>13.0</v>
      </c>
    </row>
    <row r="43" outlineLevel="1">
      <c r="A43" t="s" s="6">
        <v>69</v>
      </c>
      <c r="B43" t="s" s="6">
        <v>112</v>
      </c>
      <c r="C43" t="n" s="10">
        <v>10.0</v>
      </c>
    </row>
    <row r="44" outlineLevel="1">
      <c r="A44" t="s" s="6">
        <v>70</v>
      </c>
      <c r="B44" t="s" s="6">
        <v>112</v>
      </c>
      <c r="C44" t="n" s="10">
        <v>10.0</v>
      </c>
    </row>
    <row r="45" outlineLevel="1">
      <c r="A45" t="s" s="6">
        <v>68</v>
      </c>
      <c r="B45" t="s" s="6">
        <v>112</v>
      </c>
      <c r="C45" t="n" s="10">
        <v>12.0</v>
      </c>
    </row>
    <row r="46" outlineLevel="1">
      <c r="A46" t="s" s="6">
        <v>74</v>
      </c>
      <c r="B46" t="s" s="6">
        <v>112</v>
      </c>
      <c r="C46" t="n" s="10">
        <v>11.0</v>
      </c>
    </row>
    <row r="47" outlineLevel="1">
      <c r="A47" t="s" s="6">
        <v>72</v>
      </c>
      <c r="B47" t="s" s="6">
        <v>112</v>
      </c>
      <c r="C47" t="n" s="10">
        <v>8.0</v>
      </c>
    </row>
    <row r="48" outlineLevel="1">
      <c r="A48" t="s" s="6">
        <v>73</v>
      </c>
      <c r="B48" t="s" s="6">
        <v>112</v>
      </c>
      <c r="C48" t="n" s="10">
        <v>14.0</v>
      </c>
    </row>
    <row r="49" outlineLevel="1">
      <c r="A49" t="s" s="6">
        <v>113</v>
      </c>
      <c r="B49" t="s" s="6">
        <v>112</v>
      </c>
      <c r="C49" t="n" s="10">
        <v>10.0</v>
      </c>
    </row>
  </sheetData>
  <mergeCells count="2">
    <mergeCell ref="A33:A34"/>
    <mergeCell ref="A35:A36"/>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Überblick</vt:lpstr>
      <vt:lpstr>Kosten</vt:lpstr>
      <vt:lpstr>Kosten_Diagramme</vt:lpstr>
      <vt:lpstr>Gesamtdurchlaufszeit</vt:lpstr>
      <vt:lpstr>Gesamtdurchlaufszeit_Diagramme</vt:lpstr>
      <vt:lpstr>Ressourcenverbrauch</vt:lpstr>
      <vt:lpstr>Ressourcenverbrauch_Diagramme</vt:lpstr>
      <vt:lpstr>Flaschenhälse</vt:lpstr>
      <vt:lpstr>Flaschenhälse_Diagramme</vt:lpstr>
      <vt:lpstr>hiddenData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2013-09-04T15:20:55Z</dcterms:created>
  <dc:creator>Apache POI</dc:creator>
  <cp:lastModifiedBy>Stefan Krumnow</cp:lastModifiedBy>
  <dcterms:modified xsi:type="dcterms:W3CDTF">2014-08-29T14:02:08Z</dcterms:modified>
</cp:coreProperties>
</file>