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ms-office.chartcolorstyle+xml" PartName="/xl/charts/colors1.xml"/>
  <Override ContentType="application/vnd.ms-office.chartcolorstyle+xml" PartName="/xl/charts/colors2.xml"/>
  <Override ContentType="application/vnd.ms-office.chartcolorstyle+xml" PartName="/xl/charts/colors3.xml"/>
  <Override ContentType="application/vnd.ms-office.chartcolorstyle+xml" PartName="/xl/charts/colors4.xml"/>
  <Override ContentType="application/vnd.ms-office.chartstyle+xml" PartName="/xl/charts/style1.xml"/>
  <Override ContentType="application/vnd.ms-office.chartstyle+xml" PartName="/xl/charts/style2.xml"/>
  <Override ContentType="application/vnd.ms-office.chartstyle+xml" PartName="/xl/charts/style3.xml"/>
  <Override ContentType="application/vnd.ms-office.chartstyle+xml" PartName="/xl/charts/style4.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10.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Users\stefan.krumnow\workspaces\signavio\Signavio Trunk\platform\WebContent\WEB-INF\excel\simulation\"/>
    </mc:Choice>
  </mc:AlternateContent>
  <bookViews>
    <workbookView xWindow="0" yWindow="0" windowWidth="28800" windowHeight="13020" tabRatio="784"/>
  </bookViews>
  <sheets>
    <sheet name="Overview" sheetId="1" r:id="rId1"/>
    <sheet name="Costs" sheetId="15" r:id="rId2"/>
    <sheet name="Total cost chart" sheetId="11" r:id="rId3"/>
    <sheet name="Total cycle time" sheetId="3" r:id="rId4"/>
    <sheet name="Total time chart" sheetId="12" r:id="rId5"/>
    <sheet name="Resource consumption" sheetId="4" r:id="rId6"/>
    <sheet name="Resource consumption chart" sheetId="13" r:id="rId7"/>
    <sheet name="hiddenData" sheetId="8" state="hidden" r:id="rId10"/>
    <sheet name="Scenario Escenario 1 TO-BE" r:id="rId14" sheetId="16"/>
  </sheets>
  <definedNames>
    <definedName name="ActivityNames">hiddenData!$A$1:$A$12</definedName>
    <definedName name="Bottleneck0">#REF!</definedName>
    <definedName name="Bottleneck1">#REF!</definedName>
    <definedName name="Consumption0">hiddenData!$F$1:$F$9</definedName>
    <definedName name="Consumption1">#REF!</definedName>
    <definedName name="Resources">hiddenData!$F$10:$F$18</definedName>
    <definedName name="TotalCosts0">hiddenData!$B$1:$B$12</definedName>
    <definedName name="TotalCosts1">#REF!</definedName>
    <definedName name="TotalTime0">hiddenData!$D$1:$D$12</definedName>
    <definedName name="TotalTime1">#REF!</definedName>
  </definedNames>
  <calcPr calcId="152511"/>
</workbook>
</file>

<file path=xl/sharedStrings.xml><?xml version="1.0" encoding="utf-8"?>
<sst xmlns="http://schemas.openxmlformats.org/spreadsheetml/2006/main" count="400" uniqueCount="109">
  <si>
    <t>Report</t>
  </si>
  <si>
    <t>Simulation</t>
  </si>
  <si>
    <t>Date</t>
  </si>
  <si>
    <t>5/22/26</t>
  </si>
  <si>
    <t>Time</t>
  </si>
  <si>
    <t>9:16 PM</t>
  </si>
  <si>
    <t>User</t>
  </si>
  <si>
    <t>Carlo Garcia</t>
  </si>
  <si>
    <t>Process</t>
  </si>
  <si>
    <t>TO-BE - Proceso de gestión de pedidos de INDUPRO S.A</t>
  </si>
  <si>
    <t>Used scenario</t>
  </si>
  <si>
    <t>Duration in days</t>
  </si>
  <si>
    <t>Total cycle time</t>
  </si>
  <si>
    <t>Resource consumption</t>
  </si>
  <si>
    <t>Bottlenecks</t>
  </si>
  <si>
    <t>Escenario 1 TO-BE</t>
  </si>
  <si>
    <t/>
  </si>
  <si>
    <t>Execution costs of a process instance are the sum of fixed activity costs and resources costs. The latter ones are computed using defined responsibilities and activity execution durations. The following table shows selected process instance costs as well as the total sum of all costs:</t>
  </si>
  <si>
    <t>Execution costs of a process instance are the sum of fixed activity costs and resources costs. The
latter ones are computed using defined responsibilities and activity execution durations. The following
table shows selected process instance costs as well as the total sum of all costs:</t>
  </si>
  <si>
    <t>Average</t>
  </si>
  <si>
    <t>Minimum</t>
  </si>
  <si>
    <t>Maximum</t>
  </si>
  <si>
    <t>Total costs</t>
  </si>
  <si>
    <t>The following table shows the costs caused by every activity of your process:</t>
  </si>
  <si>
    <t>Task</t>
  </si>
  <si>
    <t>Completed instances</t>
  </si>
  <si>
    <t>Analizar pedido via portal web</t>
  </si>
  <si>
    <t>Verificar credito del cliente via API financiera</t>
  </si>
  <si>
    <t>Consultar disponibilidad de stock en ERP (tiempo real)</t>
  </si>
  <si>
    <t>Programar orden de produccion en ERP digital</t>
  </si>
  <si>
    <t>Fabricar el producto (con QC en proceso)</t>
  </si>
  <si>
    <t>Inspeccionar calidad del lote (digital)</t>
  </si>
  <si>
    <t>Enviar confirmacion automatica al cliente</t>
  </si>
  <si>
    <t>Empacar y preparar para despacho</t>
  </si>
  <si>
    <t>Asignar transportista via TMS automatizado</t>
  </si>
  <si>
    <t>Entregar al cliente y registrar firma digital de conformidad</t>
  </si>
  <si>
    <t>Generar y enviar factura electronica automatica</t>
  </si>
  <si>
    <t>Reproceso de Calidad</t>
  </si>
  <si>
    <t>Latest run Total costs</t>
  </si>
  <si>
    <t>Legend</t>
  </si>
  <si>
    <t>All values are relative to the highest value</t>
  </si>
  <si>
    <t>Latest run</t>
  </si>
  <si>
    <t>Previous run</t>
  </si>
  <si>
    <t>100%</t>
  </si>
  <si>
    <t>&gt;87.5%</t>
  </si>
  <si>
    <t>&gt;75%</t>
  </si>
  <si>
    <t>&gt;62.5%</t>
  </si>
  <si>
    <t>&gt;50%</t>
  </si>
  <si>
    <t>&lt;=50% or smallest value</t>
  </si>
  <si>
    <t>The cycle time of a process instance is measured between its start and completion. The following table shows selected process instance cycle times as well as the total sum of all run cycles:</t>
  </si>
  <si>
    <t>The cycle time of a process instance is measured between its start and completion. The following table shows selected
process instance cycle times as well as the total sum of all run cycles:</t>
  </si>
  <si>
    <t>Execution times incl. waiting times</t>
  </si>
  <si>
    <t>The following table shows for each activity how long its execution took with respect to existing working schedules without taking available resources into account:</t>
  </si>
  <si>
    <t>The following table shows for each activity how long its execution took with respect to existing working schedules without
taking available resources into account:</t>
  </si>
  <si>
    <t>Total execution time</t>
  </si>
  <si>
    <t>Total execution
time</t>
  </si>
  <si>
    <t>Pure execution times</t>
  </si>
  <si>
    <t>Within a process instance, several activities are executed. This happens sub-sequentially, delayed or in parallel. The following table shows for each activity how long its pure execution took. The values ​​do not include any existing waiting times, those are included in the table at 'Execution times incl. waiting times'. Please note that waiting times due to missing resources are not displayed here, as they are analyzed under “Bottlenecks”.</t>
  </si>
  <si>
    <t>Within a process instance, several activities are executed. This happens sub-sequentially, delayed or in parallel. The
following table shows for each activity how long its pure execution took. The values ​​do not include any existing waiting
times, those are included in the table at 'Execution times incl. waiting times'. Please note that waiting times due
to missing resources are not displayed here, as they are analyzed under “Bottlenecks”.</t>
  </si>
  <si>
    <t>Latest run Total cycle time</t>
  </si>
  <si>
    <t>The execution of activities is performed by resources. The following table shows the workload of all resources in your scenario:</t>
  </si>
  <si>
    <t>The execution of activities is performed by resources. The following table shows
the workload of all resources in your scenario:</t>
  </si>
  <si>
    <t>Resources</t>
  </si>
  <si>
    <t>Consumed time</t>
  </si>
  <si>
    <t>Workload</t>
  </si>
  <si>
    <t>Operario de QC en Proceso</t>
  </si>
  <si>
    <t>Coordinador de logística</t>
  </si>
  <si>
    <t>Analista de finanzas</t>
  </si>
  <si>
    <t>Ejecutivo de ventas</t>
  </si>
  <si>
    <t>Operario de Planta</t>
  </si>
  <si>
    <t>Coordinador de Inventarios</t>
  </si>
  <si>
    <t>Inspector de Calidad</t>
  </si>
  <si>
    <t>Planificador de Producción</t>
  </si>
  <si>
    <t>Transportista</t>
  </si>
  <si>
    <t>Latest run Workload</t>
  </si>
  <si>
    <t>Costs and Duration</t>
  </si>
  <si>
    <t>Execution costs</t>
  </si>
  <si>
    <t>Execution time</t>
  </si>
  <si>
    <t>00h 05m</t>
  </si>
  <si>
    <t>00h 10m</t>
  </si>
  <si>
    <t>02h 00m</t>
  </si>
  <si>
    <t>00h 30m</t>
  </si>
  <si>
    <t>00h 01m</t>
  </si>
  <si>
    <t>00h 00m 30s</t>
  </si>
  <si>
    <t>Frequency and probabilities</t>
  </si>
  <si>
    <t>Start event</t>
  </si>
  <si>
    <t>Frequency</t>
  </si>
  <si>
    <t>Solicitud de pedido (portal web)</t>
  </si>
  <si>
    <t>On Mon-Fri; overall 20 times</t>
  </si>
  <si>
    <t>Gateway</t>
  </si>
  <si>
    <t>Decision</t>
  </si>
  <si>
    <t>Probability</t>
  </si>
  <si>
    <t>Verificar crédito</t>
  </si>
  <si>
    <t>Aprobado</t>
  </si>
  <si>
    <t>Desaprobado</t>
  </si>
  <si>
    <t>Verificar stock</t>
  </si>
  <si>
    <t>No hay stock (30%)</t>
  </si>
  <si>
    <t>Sí hay stock (70%)</t>
  </si>
  <si>
    <t>Verificar control de calidad</t>
  </si>
  <si>
    <t>No aprueba (5%)</t>
  </si>
  <si>
    <t>Sí aprueba (95%)</t>
  </si>
  <si>
    <t>Role</t>
  </si>
  <si>
    <t>Work schedules</t>
  </si>
  <si>
    <t>Costs/hour</t>
  </si>
  <si>
    <t>1 employees; 40 hours per week</t>
  </si>
  <si>
    <t>2 employees; 80 hours per week</t>
  </si>
  <si>
    <t>6 employees; 240 hours per week</t>
  </si>
  <si>
    <t>1 employees; 8 hours per week</t>
  </si>
  <si>
    <t>1 employees; 35 hours per week</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</si>
</sst>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quot;h&quot;:mm&quot;m&quot; ss&quot;s&quot;"/>
    <numFmt numFmtId="165" formatCode="&quot;$&quot;&quot; &quot;#,##0.00;&quot;(&quot;&quot;$&quot;&quot; &quot;#,##0.00&quot;)&quot;"/>
  </numFmts>
  <fonts count="4" x14ac:knownFonts="1">
    <font>
      <sz val="11"/>
      <color indexed="8"/>
      <name val="Calibri"/>
      <family val="2"/>
      <scheme val="minor"/>
    </font>
    <font>
      <name val="Tahoma"/>
      <sz val="11.0"/>
    </font>
    <font>
      <name val="Tahoma"/>
      <sz val="11.0"/>
      <b val="true"/>
    </font>
    <font>
      <name val="Tahoma"/>
      <sz val="11.0"/>
      <u val="single"/>
      <b val="true"/>
    </font>
  </fonts>
  <fills count="26">
    <fill>
      <patternFill patternType="none"/>
    </fill>
    <fill>
      <patternFill patternType="gray125"/>
    </fill>
    <fill>
      <patternFill patternType="solid"/>
    </fill>
    <fill>
      <patternFill patternType="solid">
        <fgColor rgb="61AEF2"/>
      </patternFill>
    </fill>
    <fill>
      <patternFill patternType="solid">
        <fgColor rgb="7ABBF4"/>
      </patternFill>
    </fill>
    <fill>
      <patternFill patternType="solid">
        <fgColor rgb="9ACBF7"/>
      </patternFill>
    </fill>
    <fill>
      <patternFill patternType="solid">
        <fgColor rgb="B3D8F9"/>
      </patternFill>
    </fill>
    <fill>
      <patternFill patternType="solid">
        <fgColor rgb="C6E0F7"/>
      </patternFill>
    </fill>
    <fill>
      <patternFill patternType="none">
        <fgColor rgb="61AEF2"/>
      </patternFill>
    </fill>
    <fill>
      <patternFill patternType="none">
        <fgColor rgb="7ABBF4"/>
      </patternFill>
    </fill>
    <fill>
      <patternFill patternType="none">
        <fgColor rgb="9ACBF7"/>
      </patternFill>
    </fill>
    <fill>
      <patternFill patternType="none">
        <fgColor rgb="B3D8F9"/>
      </patternFill>
    </fill>
    <fill>
      <patternFill patternType="none">
        <fgColor rgb="C6E0F7"/>
      </patternFill>
    </fill>
    <fill>
      <patternFill patternType="none">
        <fgColor rgb="A3A3A3"/>
      </patternFill>
    </fill>
    <fill>
      <patternFill patternType="solid">
        <fgColor rgb="A3A3A3"/>
      </patternFill>
    </fill>
    <fill>
      <patternFill patternType="none">
        <fgColor rgb="AFAFAF"/>
      </patternFill>
    </fill>
    <fill>
      <patternFill patternType="solid">
        <fgColor rgb="AFAFAF"/>
      </patternFill>
    </fill>
    <fill>
      <patternFill patternType="none">
        <fgColor rgb="C0C0C0"/>
      </patternFill>
    </fill>
    <fill>
      <patternFill patternType="solid">
        <fgColor rgb="C0C0C0"/>
      </patternFill>
    </fill>
    <fill>
      <patternFill patternType="none">
        <fgColor rgb="CDCDCD"/>
      </patternFill>
    </fill>
    <fill>
      <patternFill patternType="solid">
        <fgColor rgb="CDCDCD"/>
      </patternFill>
    </fill>
    <fill>
      <patternFill patternType="none">
        <fgColor rgb="D5D5D5"/>
      </patternFill>
    </fill>
    <fill>
      <patternFill patternType="solid">
        <fgColor rgb="D5D5D5"/>
      </patternFill>
    </fill>
    <fill>
      <patternFill/>
    </fill>
    <fill>
      <patternFill>
        <fgColor indexed="64"/>
      </patternFill>
    </fill>
    <fill>
      <patternFill>
        <fgColor indexed="64"/>
        <bgColor indexed="64"/>
      </patternFill>
    </fill>
  </fills>
  <borders count="47">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63"/>
      </bottom>
    </border>
    <border>
      <left style="thin">
        <color indexed="63"/>
      </left>
      <right style="thin"/>
      <top style="thin"/>
      <bottom style="thin">
        <color indexed="63"/>
      </bottom>
    </border>
    <border>
      <left style="thin">
        <color indexed="63"/>
      </left>
      <right style="thin"/>
      <top style="thin">
        <color indexed="63"/>
      </top>
      <bottom style="thin">
        <color indexed="63"/>
      </bottom>
    </border>
    <border>
      <left style="thin">
        <color indexed="63"/>
      </left>
      <right style="thin">
        <color indexed="63"/>
      </right>
      <top style="thin">
        <color indexed="63"/>
      </top>
      <bottom style="thin">
        <color indexed="63"/>
      </bottom>
    </border>
    <border>
      <left style="thin"/>
    </border>
    <border>
      <right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ttom>
        <color indexed="8"/>
      </bottom>
    </border>
    <border>
      <left>
        <color indexed="8"/>
      </left>
      <right style="thin"/>
      <bottom>
        <color indexed="8"/>
      </bottom>
    </border>
    <border>
      <left>
        <color indexed="8"/>
      </left>
      <right style="thin">
        <color indexed="8"/>
      </right>
      <bottom>
        <color indexed="8"/>
      </bottom>
    </border>
    <border>
      <left>
        <color indexed="8"/>
      </left>
      <right style="thin">
        <color indexed="8"/>
      </right>
      <top>
        <color indexed="8"/>
      </top>
      <bottom>
        <color indexed="8"/>
      </bottom>
    </border>
    <border>
      <right style="thin"/>
      <bottom style="thin"/>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left style="thin"/>
      <top style="thin"/>
    </border>
    <border>
      <left style="thin"/>
      <top style="thin"/>
      <bottom>
        <color indexed="8"/>
      </bottom>
    </border>
    <border>
      <left style="thin">
        <color indexed="8"/>
      </left>
      <top style="thin"/>
      <bottom>
        <color indexed="8"/>
      </bottom>
    </border>
    <border>
      <left style="thin">
        <color indexed="8"/>
      </left>
      <right>
        <color indexed="8"/>
      </right>
      <top style="thin"/>
      <bottom>
        <color indexed="8"/>
      </bottom>
    </border>
    <border>
      <left style="thin">
        <color indexed="8"/>
      </left>
      <right>
        <color indexed="8"/>
      </right>
      <top style="thin">
        <color indexed="8"/>
      </top>
      <bottom>
        <color indexed="8"/>
      </bottom>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s>
  <cellStyleXfs count="1">
    <xf numFmtId="0" fontId="0" fillId="0" borderId="0"/>
  </cellStyleXfs>
  <cellXfs count="81">
    <xf numFmtId="0" fontId="0" fillId="0" borderId="0" xfId="0"/>
    <xf numFmtId="15" fontId="0" fillId="0" borderId="0" xfId="0" applyNumberFormat="1"/>
    <xf numFmtId="0" fontId="1" fillId="0" borderId="0" xfId="0" applyAlignment="true" applyFont="true">
      <alignment vertical="top" wrapText="true"/>
    </xf>
    <xf numFmtId="0" fontId="2" fillId="0" borderId="0" xfId="0" applyAlignment="true" applyFont="true">
      <alignment vertical="top" wrapText="true"/>
    </xf>
    <xf numFmtId="0" fontId="3" fillId="0" borderId="0" xfId="0" applyAlignment="true" applyFont="true">
      <alignment vertical="top" wrapText="true"/>
    </xf>
    <xf numFmtId="0" fontId="2" fillId="0" borderId="8" xfId="0" applyAlignment="true" applyFont="true" applyBorder="true">
      <alignment vertical="top" wrapText="true"/>
    </xf>
    <xf numFmtId="0" fontId="1" fillId="0" borderId="8" xfId="0" applyAlignment="true" applyFont="true" applyBorder="true">
      <alignment vertical="top" wrapText="true"/>
    </xf>
    <xf numFmtId="0" fontId="1" fillId="0" borderId="8" xfId="0" applyAlignment="true" applyFont="true" applyBorder="true">
      <alignment vertical="top" wrapText="true" horizontal="right"/>
    </xf>
    <xf numFmtId="164" fontId="1" fillId="0" borderId="8" xfId="0" applyAlignment="true" applyFont="true" applyBorder="true" applyNumberFormat="true">
      <alignment vertical="top" wrapText="true"/>
    </xf>
    <xf numFmtId="10" fontId="1" fillId="0" borderId="8" xfId="0" applyAlignment="true" applyFont="true" applyBorder="true" applyNumberFormat="true">
      <alignment vertical="top" wrapText="true"/>
    </xf>
    <xf numFmtId="165" fontId="1" fillId="0" borderId="8" xfId="0" applyAlignment="true" applyFont="true" applyBorder="true" applyNumberFormat="true">
      <alignment vertical="top" wrapText="true"/>
    </xf>
    <xf numFmtId="165" fontId="1" fillId="0" borderId="8" xfId="0" applyAlignment="true" applyFont="true" applyBorder="true" applyNumberFormat="true">
      <alignment vertical="top" wrapText="true"/>
    </xf>
    <xf numFmtId="0" fontId="1" fillId="0" borderId="8" xfId="0" applyAlignment="true" applyFont="true" applyBorder="true">
      <alignment vertical="top" wrapText="true"/>
    </xf>
    <xf numFmtId="10" fontId="1" fillId="0" borderId="8" xfId="0" applyAlignment="true" applyFont="true" applyBorder="true" applyNumberFormat="true">
      <alignment vertical="top" wrapText="true"/>
    </xf>
    <xf numFmtId="164" fontId="1" fillId="0" borderId="8" xfId="0" applyAlignment="true" applyFont="true" applyBorder="true" applyNumberFormat="true">
      <alignment vertical="top" wrapText="true"/>
    </xf>
    <xf numFmtId="0" fontId="1" fillId="3" borderId="9" xfId="0" applyAlignment="true" applyFont="true" applyFill="true" applyBorder="true">
      <alignment vertical="top" wrapText="true"/>
    </xf>
    <xf numFmtId="0" fontId="1" fillId="4" borderId="9" xfId="0" applyAlignment="true" applyFont="true" applyFill="true" applyBorder="true">
      <alignment vertical="top" wrapText="true"/>
    </xf>
    <xf numFmtId="0" fontId="1" fillId="5" borderId="9" xfId="0" applyAlignment="true" applyFont="true" applyFill="true" applyBorder="true">
      <alignment vertical="top" wrapText="true"/>
    </xf>
    <xf numFmtId="0" fontId="1" fillId="6" borderId="9" xfId="0" applyAlignment="true" applyFont="true" applyFill="true" applyBorder="true">
      <alignment vertical="top" wrapText="true"/>
    </xf>
    <xf numFmtId="0" fontId="1" fillId="7" borderId="9" xfId="0" applyAlignment="true" applyFont="true" applyFill="true" applyBorder="true">
      <alignment vertical="top" wrapText="true"/>
    </xf>
    <xf numFmtId="0" fontId="1" fillId="3" borderId="8" xfId="0" applyAlignment="true" applyFont="true" applyBorder="true" applyFill="true">
      <alignment vertical="top" wrapText="true"/>
    </xf>
    <xf numFmtId="0" fontId="1" fillId="4" borderId="8" xfId="0" applyAlignment="true" applyFont="true" applyBorder="true" applyFill="true">
      <alignment vertical="top" wrapText="true"/>
    </xf>
    <xf numFmtId="0" fontId="1" fillId="5" borderId="8" xfId="0" applyAlignment="true" applyFont="true" applyBorder="true" applyFill="true">
      <alignment vertical="top" wrapText="true"/>
    </xf>
    <xf numFmtId="0" fontId="1" fillId="6" borderId="8" xfId="0" applyAlignment="true" applyFont="true" applyBorder="true" applyFill="true">
      <alignment vertical="top" wrapText="true"/>
    </xf>
    <xf numFmtId="0" fontId="1" fillId="7" borderId="8" xfId="0" applyAlignment="true" applyFont="true" applyBorder="true" applyFill="true">
      <alignment vertical="top" wrapText="true"/>
    </xf>
    <xf numFmtId="165" fontId="1" fillId="3" borderId="8" xfId="0" applyAlignment="true" applyFont="true" applyBorder="true" applyNumberFormat="true" applyFill="true">
      <alignment vertical="top" wrapText="true"/>
    </xf>
    <xf numFmtId="165" fontId="1" fillId="4" borderId="8" xfId="0" applyAlignment="true" applyFont="true" applyBorder="true" applyNumberFormat="true" applyFill="true">
      <alignment vertical="top" wrapText="true"/>
    </xf>
    <xf numFmtId="165" fontId="1" fillId="5" borderId="8" xfId="0" applyAlignment="true" applyFont="true" applyBorder="true" applyNumberFormat="true" applyFill="true">
      <alignment vertical="top" wrapText="true"/>
    </xf>
    <xf numFmtId="165" fontId="1" fillId="6" borderId="8" xfId="0" applyAlignment="true" applyFont="true" applyBorder="true" applyNumberFormat="true" applyFill="true">
      <alignment vertical="top" wrapText="true"/>
    </xf>
    <xf numFmtId="165" fontId="1" fillId="7" borderId="8" xfId="0" applyAlignment="true" applyFont="true" applyBorder="true" applyNumberFormat="true" applyFill="true">
      <alignment vertical="top" wrapText="true"/>
    </xf>
    <xf numFmtId="10" fontId="1" fillId="3" borderId="8" xfId="0" applyAlignment="true" applyFont="true" applyBorder="true" applyNumberFormat="true" applyFill="true">
      <alignment vertical="top" wrapText="true"/>
    </xf>
    <xf numFmtId="10" fontId="1" fillId="4" borderId="8" xfId="0" applyAlignment="true" applyFont="true" applyBorder="true" applyNumberFormat="true" applyFill="true">
      <alignment vertical="top" wrapText="true"/>
    </xf>
    <xf numFmtId="10" fontId="1" fillId="5" borderId="8" xfId="0" applyAlignment="true" applyFont="true" applyBorder="true" applyNumberFormat="true" applyFill="true">
      <alignment vertical="top" wrapText="true"/>
    </xf>
    <xf numFmtId="10" fontId="1" fillId="6" borderId="8" xfId="0" applyAlignment="true" applyFont="true" applyBorder="true" applyNumberFormat="true" applyFill="true">
      <alignment vertical="top" wrapText="true"/>
    </xf>
    <xf numFmtId="10" fontId="1" fillId="7" borderId="8" xfId="0" applyAlignment="true" applyFont="true" applyBorder="true" applyNumberFormat="true" applyFill="true">
      <alignment vertical="top" wrapText="true"/>
    </xf>
    <xf numFmtId="164" fontId="1" fillId="3" borderId="8" xfId="0" applyAlignment="true" applyFont="true" applyBorder="true" applyNumberFormat="true" applyFill="true">
      <alignment vertical="top" wrapText="true"/>
    </xf>
    <xf numFmtId="164" fontId="1" fillId="4" borderId="8" xfId="0" applyAlignment="true" applyFont="true" applyBorder="true" applyNumberFormat="true" applyFill="true">
      <alignment vertical="top" wrapText="true"/>
    </xf>
    <xf numFmtId="164" fontId="1" fillId="5" borderId="8" xfId="0" applyAlignment="true" applyFont="true" applyBorder="true" applyNumberFormat="true" applyFill="true">
      <alignment vertical="top" wrapText="true"/>
    </xf>
    <xf numFmtId="164" fontId="1" fillId="6" borderId="8" xfId="0" applyAlignment="true" applyFont="true" applyBorder="true" applyNumberFormat="true" applyFill="true">
      <alignment vertical="top" wrapText="true"/>
    </xf>
    <xf numFmtId="164" fontId="1" fillId="7" borderId="8" xfId="0" applyAlignment="true" applyFont="true" applyBorder="true" applyNumberFormat="true" applyFill="true">
      <alignment vertical="top" wrapText="true"/>
    </xf>
    <xf numFmtId="0" fontId="1" fillId="14" borderId="10" xfId="0" applyAlignment="true" applyFont="true" applyFill="true" applyBorder="true">
      <alignment vertical="top" wrapText="true"/>
    </xf>
    <xf numFmtId="0" fontId="1" fillId="16" borderId="10" xfId="0" applyAlignment="true" applyFont="true" applyFill="true" applyBorder="true">
      <alignment vertical="top" wrapText="true"/>
    </xf>
    <xf numFmtId="0" fontId="1" fillId="18" borderId="10" xfId="0" applyAlignment="true" applyFont="true" applyFill="true" applyBorder="true">
      <alignment vertical="top" wrapText="true"/>
    </xf>
    <xf numFmtId="0" fontId="1" fillId="20" borderId="10" xfId="0" applyAlignment="true" applyFont="true" applyFill="true" applyBorder="true">
      <alignment vertical="top" wrapText="true"/>
    </xf>
    <xf numFmtId="0" fontId="1" fillId="22" borderId="10" xfId="0" applyAlignment="true" applyFont="true" applyFill="true" applyBorder="true">
      <alignment vertical="top" wrapText="true"/>
    </xf>
    <xf numFmtId="0" fontId="1" fillId="14" borderId="8" xfId="0" applyAlignment="true" applyFont="true" applyBorder="true" applyFill="true">
      <alignment vertical="top" wrapText="true"/>
    </xf>
    <xf numFmtId="0" fontId="1" fillId="16" borderId="8" xfId="0" applyAlignment="true" applyFont="true" applyBorder="true" applyFill="true">
      <alignment vertical="top" wrapText="true"/>
    </xf>
    <xf numFmtId="0" fontId="1" fillId="18" borderId="8" xfId="0" applyAlignment="true" applyFont="true" applyBorder="true" applyFill="true">
      <alignment vertical="top" wrapText="true"/>
    </xf>
    <xf numFmtId="0" fontId="1" fillId="20" borderId="8" xfId="0" applyAlignment="true" applyFont="true" applyBorder="true" applyFill="true">
      <alignment vertical="top" wrapText="true"/>
    </xf>
    <xf numFmtId="0" fontId="1" fillId="22" borderId="8" xfId="0" applyAlignment="true" applyFont="true" applyBorder="true" applyFill="true">
      <alignment vertical="top" wrapText="true"/>
    </xf>
    <xf numFmtId="165" fontId="1" fillId="14" borderId="8" xfId="0" applyAlignment="true" applyFont="true" applyBorder="true" applyNumberFormat="true" applyFill="true">
      <alignment vertical="top" wrapText="true"/>
    </xf>
    <xf numFmtId="165" fontId="1" fillId="16" borderId="8" xfId="0" applyAlignment="true" applyFont="true" applyBorder="true" applyNumberFormat="true" applyFill="true">
      <alignment vertical="top" wrapText="true"/>
    </xf>
    <xf numFmtId="165" fontId="1" fillId="18" borderId="8" xfId="0" applyAlignment="true" applyFont="true" applyBorder="true" applyNumberFormat="true" applyFill="true">
      <alignment vertical="top" wrapText="true"/>
    </xf>
    <xf numFmtId="165" fontId="1" fillId="20" borderId="8" xfId="0" applyAlignment="true" applyFont="true" applyBorder="true" applyNumberFormat="true" applyFill="true">
      <alignment vertical="top" wrapText="true"/>
    </xf>
    <xf numFmtId="165" fontId="1" fillId="22" borderId="8" xfId="0" applyAlignment="true" applyFont="true" applyBorder="true" applyNumberFormat="true" applyFill="true">
      <alignment vertical="top" wrapText="true"/>
    </xf>
    <xf numFmtId="10" fontId="1" fillId="14" borderId="8" xfId="0" applyAlignment="true" applyFont="true" applyBorder="true" applyNumberFormat="true" applyFill="true">
      <alignment vertical="top" wrapText="true"/>
    </xf>
    <xf numFmtId="10" fontId="1" fillId="16" borderId="8" xfId="0" applyAlignment="true" applyFont="true" applyBorder="true" applyNumberFormat="true" applyFill="true">
      <alignment vertical="top" wrapText="true"/>
    </xf>
    <xf numFmtId="10" fontId="1" fillId="18" borderId="8" xfId="0" applyAlignment="true" applyFont="true" applyBorder="true" applyNumberFormat="true" applyFill="true">
      <alignment vertical="top" wrapText="true"/>
    </xf>
    <xf numFmtId="10" fontId="1" fillId="20" borderId="8" xfId="0" applyAlignment="true" applyFont="true" applyBorder="true" applyNumberFormat="true" applyFill="true">
      <alignment vertical="top" wrapText="true"/>
    </xf>
    <xf numFmtId="10" fontId="1" fillId="22" borderId="8" xfId="0" applyAlignment="true" applyFont="true" applyBorder="true" applyNumberFormat="true" applyFill="true">
      <alignment vertical="top" wrapText="true"/>
    </xf>
    <xf numFmtId="164" fontId="1" fillId="14" borderId="8" xfId="0" applyAlignment="true" applyFont="true" applyBorder="true" applyNumberFormat="true" applyFill="true">
      <alignment vertical="top" wrapText="true"/>
    </xf>
    <xf numFmtId="164" fontId="1" fillId="16" borderId="8" xfId="0" applyAlignment="true" applyFont="true" applyBorder="true" applyNumberFormat="true" applyFill="true">
      <alignment vertical="top" wrapText="true"/>
    </xf>
    <xf numFmtId="164" fontId="1" fillId="18" borderId="8" xfId="0" applyAlignment="true" applyFont="true" applyBorder="true" applyNumberFormat="true" applyFill="true">
      <alignment vertical="top" wrapText="true"/>
    </xf>
    <xf numFmtId="164" fontId="1" fillId="20" borderId="8" xfId="0" applyAlignment="true" applyFont="true" applyBorder="true" applyNumberFormat="true" applyFill="true">
      <alignment vertical="top" wrapText="true"/>
    </xf>
    <xf numFmtId="164" fontId="1" fillId="22" borderId="8" xfId="0" applyAlignment="true" applyFont="true" applyBorder="true" applyNumberFormat="true" applyFill="true">
      <alignment vertical="top" wrapText="true"/>
    </xf>
    <xf numFmtId="0" fontId="2" fillId="25" borderId="14" xfId="0" applyAlignment="true" applyBorder="true" applyNumberFormat="true" applyFill="true" applyFont="true" quotePrefix="false">
      <alignment horizontal="general" vertical="top" indent="0" textRotation="0" wrapText="true" shrinkToFit="false"/>
      <protection hidden="false" locked="true"/>
    </xf>
    <xf numFmtId="0" fontId="1" fillId="25" borderId="14" xfId="0" applyAlignment="true" applyBorder="true" applyNumberFormat="true" applyFill="true" applyFont="true" quotePrefix="false">
      <alignment horizontal="general" vertical="top" indent="0" textRotation="0" wrapText="true" shrinkToFit="false"/>
      <protection hidden="false" locked="true"/>
    </xf>
    <xf numFmtId="0" fontId="1" fillId="25" borderId="18" xfId="0" applyAlignment="true" applyBorder="true" applyNumberFormat="true" applyFill="true" applyFont="true" quotePrefix="false">
      <alignment horizontal="general" vertical="top" indent="0" textRotation="0" wrapText="true" shrinkToFit="false"/>
      <protection hidden="false" locked="true"/>
    </xf>
    <xf numFmtId="0" fontId="1" fillId="25" borderId="23" xfId="0" applyAlignment="true" applyBorder="true" applyNumberFormat="true" applyFill="true" applyFont="true" quotePrefix="false">
      <alignment horizontal="general" vertical="top" indent="0" textRotation="0" wrapText="true" shrinkToFit="false"/>
      <protection hidden="false" locked="true"/>
    </xf>
    <xf numFmtId="0" fontId="2" fillId="25" borderId="27" xfId="0" applyAlignment="true" applyBorder="true" applyNumberFormat="true" applyFill="true" applyFont="true" quotePrefix="false">
      <alignment horizontal="general" vertical="top" indent="0" textRotation="0" wrapText="true" shrinkToFit="false"/>
      <protection hidden="false" locked="true"/>
    </xf>
    <xf numFmtId="0" fontId="2" fillId="25" borderId="31" xfId="0" applyAlignment="true" applyBorder="true" applyNumberFormat="true" applyFill="true" applyFont="true" quotePrefix="false">
      <alignment horizontal="general" vertical="top" indent="0" textRotation="0" wrapText="true" shrinkToFit="false"/>
      <protection hidden="false" locked="true"/>
    </xf>
    <xf numFmtId="0" fontId="2" fillId="25" borderId="36" xfId="0" applyAlignment="true" applyBorder="true" applyNumberFormat="true" applyFill="true" applyFont="true" quotePrefix="false">
      <alignment horizontal="general" vertical="top" indent="0" textRotation="0" wrapText="true" shrinkToFit="false"/>
      <protection hidden="false" locked="true"/>
    </xf>
    <xf numFmtId="0" fontId="1" fillId="25" borderId="41" xfId="0" applyAlignment="true" applyBorder="true" applyNumberFormat="true" applyFill="true" applyFont="true" quotePrefix="false">
      <alignment horizontal="general" vertical="top" indent="0" textRotation="0" wrapText="true" shrinkToFit="false"/>
      <protection hidden="false" locked="true"/>
    </xf>
    <xf numFmtId="0" fontId="2" fillId="25" borderId="46" xfId="0" applyAlignment="true" applyBorder="true" applyNumberFormat="true" applyFill="true" applyFont="true" quotePrefix="false">
      <alignment horizontal="general" vertical="top" indent="0" textRotation="0" wrapText="true" shrinkToFit="false"/>
      <protection hidden="false" locked="true"/>
    </xf>
    <xf numFmtId="0" fontId="0" fillId="25" borderId="46" xfId="0" applyAlignment="true" applyBorder="true" applyNumberFormat="true" applyFill="true" applyFont="true" quotePrefix="false">
      <alignment horizontal="general" vertical="bottom" indent="0" textRotation="0" wrapText="false" shrinkToFit="false"/>
      <protection hidden="false" locked="true"/>
    </xf>
    <xf numFmtId="0" fontId="1" fillId="25" borderId="27" xfId="0" applyAlignment="true" applyBorder="true" applyNumberFormat="true" applyFill="true" applyFont="true" quotePrefix="false">
      <alignment horizontal="general" vertical="top" indent="0" textRotation="0" wrapText="true" shrinkToFit="false"/>
      <protection hidden="false" locked="true"/>
    </xf>
    <xf numFmtId="0" fontId="0" fillId="25" borderId="41" xfId="0" applyAlignment="true" applyBorder="true" applyNumberFormat="true" applyFill="true" applyFont="true" quotePrefix="false">
      <alignment horizontal="general" vertical="bottom" indent="0" textRotation="0" wrapText="false" shrinkToFit="false"/>
      <protection hidden="false" locked="true"/>
    </xf>
    <xf numFmtId="0" fontId="0" fillId="25" borderId="18" xfId="0" applyAlignment="true" applyBorder="true" applyNumberFormat="true" applyFill="true" applyFont="true" quotePrefix="false">
      <alignment horizontal="general" vertical="bottom" indent="0" textRotation="0" wrapText="false" shrinkToFit="false"/>
      <protection hidden="false" locked="true"/>
    </xf>
    <xf numFmtId="0" fontId="1" fillId="25" borderId="31" xfId="0" applyAlignment="true" applyBorder="true" applyNumberFormat="true" applyFill="true" applyFont="true" quotePrefix="false">
      <alignment horizontal="general" vertical="top" indent="0" textRotation="0" wrapText="true" shrinkToFit="false"/>
      <protection hidden="false" locked="true"/>
    </xf>
    <xf numFmtId="0" fontId="0" fillId="25" borderId="14" xfId="0" applyAlignment="true" applyBorder="true" applyNumberFormat="true" applyFill="true" applyFont="true" quotePrefix="false">
      <alignment horizontal="general" vertical="bottom" indent="0" textRotation="0" wrapText="false" shrinkToFit="false"/>
      <protection hidden="false" locked="true"/>
    </xf>
    <xf numFmtId="0" fontId="0" fillId="25" borderId="31" xfId="0" applyAlignment="true" applyBorder="true" applyNumberFormat="true" applyFill="true" applyFont="true" quotePrefix="false">
      <alignment horizontal="general" vertical="bottom" indent="0" textRotation="0" wrapText="false" shrinkToFit="false"/>
      <protection hidden="false" locked="true"/>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tyles.xml" Type="http://schemas.openxmlformats.org/officeDocument/2006/relationships/styles"/><Relationship Id="rId13" Target="sharedStrings.xml" Type="http://schemas.openxmlformats.org/officeDocument/2006/relationships/sharedStrings"/><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s>
</file>

<file path=xl/charts/_rels/chart1.xml.rels><?xml version="1.0" encoding="UTF-8" standalone="yes"?><Relationships xmlns="http://schemas.openxmlformats.org/package/2006/relationships"><Relationship Id="rId1" Target="style1.xml" Type="http://schemas.microsoft.com/office/2011/relationships/chartStyle"/><Relationship Id="rId2" Target="colors1.xml" Type="http://schemas.microsoft.com/office/2011/relationships/chartColorStyle"/></Relationships>
</file>

<file path=xl/charts/_rels/chart2.xml.rels><?xml version="1.0" encoding="UTF-8" standalone="yes"?><Relationships xmlns="http://schemas.openxmlformats.org/package/2006/relationships"><Relationship Id="rId1" Target="style2.xml" Type="http://schemas.microsoft.com/office/2011/relationships/chartStyle"/><Relationship Id="rId2" Target="colors2.xml" Type="http://schemas.microsoft.com/office/2011/relationships/chartColorStyle"/></Relationships>
</file>

<file path=xl/charts/_rels/chart3.xml.rels><?xml version="1.0" encoding="UTF-8" standalone="yes"?><Relationships xmlns="http://schemas.openxmlformats.org/package/2006/relationships"><Relationship Id="rId1" Target="style3.xml" Type="http://schemas.microsoft.com/office/2011/relationships/chartStyle"/><Relationship Id="rId2" Target="colors3.xml" Type="http://schemas.microsoft.com/office/2011/relationships/chartColorStyle"/></Relationships>
</file>

<file path=xl/charts/_rels/chart4.xml.rels><?xml version="1.0" encoding="UTF-8" standalone="yes"?><Relationships xmlns="http://schemas.openxmlformats.org/package/2006/relationships"><Relationship Id="rId1" Target="style4.xml" Type="http://schemas.microsoft.com/office/2011/relationships/chartStyle"/><Relationship Id="rId2" Target="colors4.xml" Type="http://schemas.microsoft.com/office/2011/relationships/chartColorStyle"/></Relationships>
</file>

<file path=xl/charts/chart1.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hiddenData!$I$1</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[0]!TotalCosts0</c:f>
              <c:numCache>
                <c:formatCode>General</c:formatCode>
                <c:ptCount val="1"/>
                <c:pt idx="0">
                  <c:v>1</c:v>
                </c:pt>
              </c:numCache>
            </c:numRef>
          </c:val>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hiddenData!$I$2</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[0]!TotalTime0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hiddenData!$I$3</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[0]!Resources</c:f>
            </c:multiLvlStrRef>
          </c:cat>
          <c:val>
            <c:numRef>
              <c:f>[0]!Consumption0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hiddenData!$I$4</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[0]!Bottleneck0</c:f>
              <c:numCache>
                <c:formatCode>General</c:formatCode>
                <c:ptCount val="1"/>
                <c:pt idx="0">
                  <c:v>1</c:v>
                </c:pt>
              </c:numCache>
            </c:numRef>
          </c:val>
          <c:extLst/>
        </c:ser>
        <c:ser>
          <c:idx val="0"/>
          <c:order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[0]!ActivityNames</c:f>
            </c:multiLvlStrRef>
          </c:cat>
          <c:val>
            <c:numRef>
              <c:f>[0]!Bottleneck0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1" Target="../charts/chart1.xml" Type="http://schemas.openxmlformats.org/officeDocument/2006/relationships/chart"/></Relationships>
</file>

<file path=xl/drawings/_rels/drawing2.xml.rels><?xml version="1.0" encoding="UTF-8" standalone="yes"?><Relationships xmlns="http://schemas.openxmlformats.org/package/2006/relationships"><Relationship Id="rId1" Target="../charts/chart2.xml" Type="http://schemas.openxmlformats.org/officeDocument/2006/relationships/chart"/></Relationships>
</file>

<file path=xl/drawings/_rels/drawing3.xml.rels><?xml version="1.0" encoding="UTF-8" standalone="yes"?><Relationships xmlns="http://schemas.openxmlformats.org/package/2006/relationships"><Relationship Id="rId1" Target="../charts/chart3.xml" Type="http://schemas.openxmlformats.org/officeDocument/2006/relationships/chart"/></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0</xdr:rowOff>
    </xdr:from>
    <xdr:to>
      <xdr:col>9</xdr:col>
      <xdr:colOff>0</xdr:colOff>
      <xdr:row>27</xdr:row>
      <xdr:rowOff>0</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9</xdr:col>
      <xdr:colOff>495300</xdr:colOff>
      <xdr:row>26</xdr:row>
      <xdr:rowOff>0</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6</xdr:row>
      <xdr:rowOff>0</xdr:rowOff>
    </xdr:from>
    <xdr:to>
      <xdr:col>9</xdr:col>
      <xdr:colOff>495300</xdr:colOff>
      <xdr:row>26</xdr:row>
      <xdr:rowOff>0</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7.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10.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tabSelected="1" workbookViewId="0"/>
  </sheetViews>
  <sheetFormatPr baseColWidth="20" defaultColWidth="21.7109375" defaultRowHeight="15" x14ac:dyDescent="0.25"/>
  <cols>
    <col min="1" max="1" width="15.37890625" customWidth="true" bestFit="true"/>
    <col min="2" max="2" width="44.67578125" customWidth="true" bestFit="true"/>
    <col min="3" max="3" width="17.26171875" customWidth="true" bestFit="true"/>
    <col min="4" max="4" width="21.18359375" customWidth="true" bestFit="true"/>
    <col min="5" max="5" width="11.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c r="A7" t="s" s="5">
        <v>10</v>
      </c>
      <c r="B7" t="s" s="5">
        <v>11</v>
      </c>
      <c r="C7" t="s" s="5">
        <v>12</v>
      </c>
      <c r="D7" t="s" s="5">
        <v>13</v>
      </c>
      <c r="E7" t="s" s="5">
        <v>14</v>
      </c>
    </row>
    <row r="8">
      <c r="A8" t="s" s="6">
        <v>15</v>
      </c>
      <c r="B8" t="n" s="6">
        <v>5.0</v>
      </c>
      <c r="C8" t="n" s="8">
        <v>1.8729166666666666</v>
      </c>
      <c r="D8" t="n" s="8">
        <v>0.6361111111111111</v>
      </c>
      <c r="E8" t="s" s="6">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heetViews>
  <sheetFormatPr baseColWidth="20" defaultColWidth="21.7109375" defaultRowHeight="15" x14ac:dyDescent="0.25"/>
  <cols>
    <col min="1" max="1" width="46.9609375" customWidth="true" bestFit="true"/>
    <col min="2" max="2" width="44.67578125" customWidth="true" bestFit="true"/>
    <col min="3" max="3" width="15.6640625" customWidth="true" bestFit="true"/>
    <col min="4" max="4" width="19.56640625" customWidth="true" bestFit="true"/>
    <col min="5" max="5" width="9.58984375" customWidth="true" bestFit="true"/>
    <col min="6" max="6" width="10.703125" customWidth="true" bestFit="true"/>
    <col min="7" max="7" width="9.58984375" customWidth="true" bestFit="true"/>
    <col min="8" max="8" width="10.70312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ht="45.0" customHeight="true">
      <c r="A7" t="s" s="2">
        <v>18</v>
      </c>
    </row>
    <row r="10">
      <c r="A10" t="s" s="5">
        <v>10</v>
      </c>
      <c r="B10" t="s" s="5">
        <v>11</v>
      </c>
      <c r="C10" t="s" s="5">
        <v>19</v>
      </c>
      <c r="D10" t="s" s="5">
        <v>20</v>
      </c>
      <c r="E10" t="s" s="5">
        <v>21</v>
      </c>
      <c r="F10" t="s" s="5">
        <v>22</v>
      </c>
    </row>
    <row r="11">
      <c r="A11" t="s" s="6">
        <v>15</v>
      </c>
      <c r="B11" t="n" s="7">
        <v>5.0</v>
      </c>
      <c r="C11" t="n" s="10">
        <v>7.48</v>
      </c>
      <c r="D11" t="n" s="10">
        <v>2.08</v>
      </c>
      <c r="E11" t="n" s="10">
        <v>45.73</v>
      </c>
      <c r="F11" t="n" s="10">
        <v>147.72</v>
      </c>
    </row>
    <row r="13">
      <c r="A13" t="s" s="2">
        <v>23</v>
      </c>
    </row>
    <row r="15">
      <c r="A15" t="s" s="5">
        <v>24</v>
      </c>
      <c r="B15" t="s" s="5">
        <v>10</v>
      </c>
      <c r="C15" t="s" s="5">
        <v>11</v>
      </c>
      <c r="D15" t="s" s="5">
        <v>25</v>
      </c>
      <c r="E15" t="s" s="5">
        <v>19</v>
      </c>
      <c r="F15" t="s" s="5">
        <v>20</v>
      </c>
      <c r="G15" t="s" s="5">
        <v>21</v>
      </c>
      <c r="H15" t="s" s="5">
        <v>22</v>
      </c>
    </row>
    <row r="16">
      <c r="A16" t="s" s="6">
        <v>26</v>
      </c>
      <c r="B16" t="s" s="6">
        <v>15</v>
      </c>
      <c r="C16" t="n" s="6">
        <v>5.0</v>
      </c>
      <c r="D16" t="n" s="20">
        <v>20.0</v>
      </c>
      <c r="E16" t="n" s="10">
        <v>1.0</v>
      </c>
      <c r="F16" t="n" s="10">
        <v>1.0</v>
      </c>
      <c r="G16" t="n" s="10">
        <v>1.0</v>
      </c>
      <c r="H16" t="n" s="10">
        <v>20.0</v>
      </c>
    </row>
    <row r="17">
      <c r="A17" t="s" s="6">
        <v>27</v>
      </c>
      <c r="B17" t="s" s="6">
        <v>15</v>
      </c>
      <c r="C17" t="n" s="6">
        <v>5.0</v>
      </c>
      <c r="D17" t="n" s="20">
        <v>20.0</v>
      </c>
      <c r="E17" t="n" s="10">
        <v>1.08</v>
      </c>
      <c r="F17" t="n" s="10">
        <v>1.08</v>
      </c>
      <c r="G17" t="n" s="10">
        <v>1.08</v>
      </c>
      <c r="H17" t="n" s="10">
        <v>21.67</v>
      </c>
    </row>
    <row r="18">
      <c r="A18" t="s" s="6">
        <v>28</v>
      </c>
      <c r="B18" t="s" s="6">
        <v>15</v>
      </c>
      <c r="C18" t="n" s="6">
        <v>5.0</v>
      </c>
      <c r="D18" t="n" s="6">
        <v>7.0</v>
      </c>
      <c r="E18" t="n" s="10">
        <v>0.83</v>
      </c>
      <c r="F18" t="n" s="10">
        <v>0.83</v>
      </c>
      <c r="G18" t="n" s="10">
        <v>0.83</v>
      </c>
      <c r="H18" t="n" s="10">
        <v>5.83</v>
      </c>
    </row>
    <row r="19">
      <c r="A19" t="s" s="6">
        <v>29</v>
      </c>
      <c r="B19" t="s" s="6">
        <v>15</v>
      </c>
      <c r="C19" t="n" s="6">
        <v>5.0</v>
      </c>
      <c r="D19" t="n" s="6">
        <v>2.0</v>
      </c>
      <c r="E19" t="n" s="10">
        <v>2.33</v>
      </c>
      <c r="F19" t="n" s="10">
        <v>2.33</v>
      </c>
      <c r="G19" t="n" s="10">
        <v>2.33</v>
      </c>
      <c r="H19" t="n" s="10">
        <v>4.67</v>
      </c>
    </row>
    <row r="20">
      <c r="A20" t="s" s="6">
        <v>30</v>
      </c>
      <c r="B20" t="s" s="6">
        <v>15</v>
      </c>
      <c r="C20" t="n" s="6">
        <v>5.0</v>
      </c>
      <c r="D20" t="n" s="6">
        <v>2.0</v>
      </c>
      <c r="E20" t="n" s="25">
        <v>32.0</v>
      </c>
      <c r="F20" t="n" s="25">
        <v>32.0</v>
      </c>
      <c r="G20" t="n" s="25">
        <v>32.0</v>
      </c>
      <c r="H20" t="n" s="25">
        <v>64.0</v>
      </c>
    </row>
    <row r="21">
      <c r="A21" t="s" s="6">
        <v>31</v>
      </c>
      <c r="B21" t="s" s="6">
        <v>15</v>
      </c>
      <c r="C21" t="n" s="6">
        <v>5.0</v>
      </c>
      <c r="D21" t="n" s="6">
        <v>2.0</v>
      </c>
      <c r="E21" t="n" s="10">
        <v>5.5</v>
      </c>
      <c r="F21" t="n" s="10">
        <v>5.5</v>
      </c>
      <c r="G21" t="n" s="10">
        <v>5.5</v>
      </c>
      <c r="H21" t="n" s="10">
        <v>11.0</v>
      </c>
    </row>
    <row r="22">
      <c r="A22" t="s" s="6">
        <v>32</v>
      </c>
      <c r="B22" t="s" s="6">
        <v>15</v>
      </c>
      <c r="C22" t="n" s="6">
        <v>5.0</v>
      </c>
      <c r="D22" t="n" s="6">
        <v>7.0</v>
      </c>
      <c r="E22" t="n" s="10">
        <v>0.2</v>
      </c>
      <c r="F22" t="n" s="10">
        <v>0.2</v>
      </c>
      <c r="G22" t="n" s="10">
        <v>0.2</v>
      </c>
      <c r="H22" t="n" s="10">
        <v>1.4</v>
      </c>
    </row>
    <row r="23">
      <c r="A23" t="s" s="6">
        <v>33</v>
      </c>
      <c r="B23" t="s" s="6">
        <v>15</v>
      </c>
      <c r="C23" t="n" s="6">
        <v>5.0</v>
      </c>
      <c r="D23" t="n" s="6">
        <v>7.0</v>
      </c>
      <c r="E23" t="n" s="10">
        <v>1.67</v>
      </c>
      <c r="F23" t="n" s="10">
        <v>1.67</v>
      </c>
      <c r="G23" t="n" s="10">
        <v>1.67</v>
      </c>
      <c r="H23" t="n" s="10">
        <v>11.67</v>
      </c>
    </row>
    <row r="24">
      <c r="A24" t="s" s="6">
        <v>34</v>
      </c>
      <c r="B24" t="s" s="6">
        <v>15</v>
      </c>
      <c r="C24" t="n" s="6">
        <v>5.0</v>
      </c>
      <c r="D24" t="n" s="6">
        <v>7.0</v>
      </c>
      <c r="E24" t="n" s="10">
        <v>0.83</v>
      </c>
      <c r="F24" t="n" s="10">
        <v>0.83</v>
      </c>
      <c r="G24" t="n" s="10">
        <v>0.83</v>
      </c>
      <c r="H24" t="n" s="10">
        <v>5.83</v>
      </c>
    </row>
    <row r="25">
      <c r="A25" t="s" s="6">
        <v>35</v>
      </c>
      <c r="B25" t="s" s="6">
        <v>15</v>
      </c>
      <c r="C25" t="n" s="6">
        <v>5.0</v>
      </c>
      <c r="D25" t="n" s="6">
        <v>6.0</v>
      </c>
      <c r="E25" t="n" s="10">
        <v>0.17</v>
      </c>
      <c r="F25" t="n" s="10">
        <v>0.17</v>
      </c>
      <c r="G25" t="n" s="10">
        <v>0.17</v>
      </c>
      <c r="H25" t="n" s="10">
        <v>1.0</v>
      </c>
    </row>
    <row r="26">
      <c r="A26" t="s" s="6">
        <v>36</v>
      </c>
      <c r="B26" t="s" s="6">
        <v>15</v>
      </c>
      <c r="C26" t="n" s="6">
        <v>5.0</v>
      </c>
      <c r="D26" t="n" s="6">
        <v>6.0</v>
      </c>
      <c r="E26" t="n" s="10">
        <v>0.11</v>
      </c>
      <c r="F26" t="n" s="10">
        <v>0.11</v>
      </c>
      <c r="G26" t="n" s="10">
        <v>0.11</v>
      </c>
      <c r="H26" t="n" s="10">
        <v>0.65</v>
      </c>
    </row>
    <row r="27">
      <c r="A27" t="s" s="6">
        <v>37</v>
      </c>
      <c r="B27" t="s" s="6">
        <v>15</v>
      </c>
      <c r="C27" t="n" s="6">
        <v>5.0</v>
      </c>
      <c r="D27" t="n" s="6">
        <v>0.0</v>
      </c>
      <c r="E27" t="n" s="10">
        <v>0.0</v>
      </c>
      <c r="F27" t="n" s="10">
        <v>0.0</v>
      </c>
      <c r="G27" t="n" s="10">
        <v>0.0</v>
      </c>
      <c r="H27" t="n" s="10">
        <v>0.0</v>
      </c>
    </row>
    <row r="29">
      <c r="A29" s="71" t="s">
        <v>39</v>
      </c>
      <c r="B29" s="76"/>
    </row>
    <row r="30">
      <c r="A30" s="75" t="s">
        <v>40</v>
      </c>
      <c r="B30" s="77"/>
    </row>
    <row r="31">
      <c r="A31" s="75" t="s">
        <v>41</v>
      </c>
      <c r="B31" s="67" t="s">
        <v>42</v>
      </c>
    </row>
    <row r="32">
      <c r="A32" t="s" s="15">
        <v>43</v>
      </c>
      <c r="B32" s="40" t="s">
        <v>43</v>
      </c>
    </row>
    <row r="33">
      <c r="A33" s="16" t="s">
        <v>44</v>
      </c>
      <c r="B33" s="41" t="s">
        <v>44</v>
      </c>
    </row>
    <row r="34">
      <c r="A34" s="17" t="s">
        <v>45</v>
      </c>
      <c r="B34" s="42" t="s">
        <v>45</v>
      </c>
    </row>
    <row r="35">
      <c r="A35" s="18" t="s">
        <v>46</v>
      </c>
      <c r="B35" s="43" t="s">
        <v>46</v>
      </c>
    </row>
    <row r="36">
      <c r="A36" s="19" t="s">
        <v>47</v>
      </c>
      <c r="B36" s="44" t="s">
        <v>47</v>
      </c>
    </row>
    <row r="37">
      <c r="A37" s="78" t="s">
        <v>48</v>
      </c>
      <c r="B37" s="68" t="s">
        <v>48</v>
      </c>
    </row>
  </sheetData>
  <mergeCells count="3">
    <mergeCell ref="A7:F7"/>
    <mergeCell ref="A13:F13"/>
    <mergeCell ref="A30:B30"/>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
  <sheetViews>
    <sheetView workbookViewId="0"/>
  </sheetViews>
  <sheetFormatPr baseColWidth="10" defaultRowHeight="15" x14ac:dyDescent="0.25"/>
  <cols>
    <col min="1" max="1" bestFit="true" customWidth="true" width="7.89453125"/>
    <col min="2" max="2" bestFit="true" customWidth="true" width="44.67578125"/>
  </cols>
  <sheetData>
    <row r="1">
      <c r="A1" t="s" s="71">
        <v>0</v>
      </c>
      <c r="B1" t="s" s="72">
        <v>1</v>
      </c>
    </row>
    <row r="2">
      <c r="A2" t="s" s="69">
        <v>2</v>
      </c>
      <c r="B2" t="s" s="67">
        <v>3</v>
      </c>
    </row>
    <row r="3">
      <c r="A3" t="s" s="69">
        <v>4</v>
      </c>
      <c r="B3" t="s" s="67">
        <v>5</v>
      </c>
    </row>
    <row r="4">
      <c r="A4" t="s" s="69">
        <v>6</v>
      </c>
      <c r="B4" t="s" s="67">
        <v>7</v>
      </c>
    </row>
    <row r="5">
      <c r="A5" t="s" s="70">
        <v>8</v>
      </c>
      <c r="B5" t="s" s="68">
        <v>9</v>
      </c>
    </row>
    <row r="9" spans="13:13" x14ac:dyDescent="0.25">
      <c r="M9" s="1"/>
    </row>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zoomScaleNormal="100" workbookViewId="0"/>
  </sheetViews>
  <sheetFormatPr baseColWidth="20" defaultColWidth="21.7109375" defaultRowHeight="15" x14ac:dyDescent="0.25"/>
  <cols>
    <col min="7" max="7" bestFit="true" customWidth="true" width="17.26171875" collapsed="true"/>
    <col min="1" max="1" bestFit="true" customWidth="true" width="46.9609375"/>
    <col min="2" max="2" bestFit="true" customWidth="true" width="44.67578125"/>
    <col min="3" max="3" bestFit="true" customWidth="true" width="16.26171875"/>
    <col min="4" max="4" bestFit="true" customWidth="true" width="19.56640625"/>
    <col min="5" max="5" bestFit="true" customWidth="true" width="17.26171875"/>
    <col min="6" max="6" bestFit="true" customWidth="true" width="17.26171875" collapsed="true"/>
    <col min="8" max="8" bestFit="true" customWidth="true" width="16.26171875"/>
  </cols>
  <sheetData>
    <row r="1">
      <c r="A1" t="s" s="71">
        <v>0</v>
      </c>
      <c r="B1" t="s" s="72">
        <v>1</v>
      </c>
    </row>
    <row r="2">
      <c r="A2" t="s" s="69">
        <v>2</v>
      </c>
      <c r="B2" t="s" s="67">
        <v>3</v>
      </c>
    </row>
    <row r="3">
      <c r="A3" t="s" s="69">
        <v>4</v>
      </c>
      <c r="B3" t="s" s="67">
        <v>5</v>
      </c>
    </row>
    <row r="4">
      <c r="A4" t="s" s="69">
        <v>6</v>
      </c>
      <c r="B4" t="s" s="67">
        <v>7</v>
      </c>
    </row>
    <row r="5">
      <c r="A5" t="s" s="70">
        <v>8</v>
      </c>
      <c r="B5" t="s" s="68">
        <v>9</v>
      </c>
    </row>
    <row r="7" ht="15" customHeight="1" x14ac:dyDescent="0.25"/>
    <row r="8" ht="30.0" customHeight="true">
      <c r="A8" t="s" s="2">
        <v>50</v>
      </c>
    </row>
    <row r="10">
      <c r="A10" t="s" s="5">
        <v>10</v>
      </c>
      <c r="B10" t="s" s="5">
        <v>11</v>
      </c>
      <c r="C10" t="s" s="5">
        <v>19</v>
      </c>
      <c r="D10" t="s" s="5">
        <v>20</v>
      </c>
      <c r="E10" t="s" s="5">
        <v>21</v>
      </c>
      <c r="F10" t="s" s="5">
        <v>12</v>
      </c>
    </row>
    <row r="11">
      <c r="A11" t="s" s="8">
        <v>15</v>
      </c>
      <c r="B11" t="n" s="6">
        <v>5.0</v>
      </c>
      <c r="C11" t="n" s="8">
        <v>0.09856481481481481</v>
      </c>
      <c r="D11" t="n" s="8">
        <v>0.006944444444444444</v>
      </c>
      <c r="E11" t="n" s="8">
        <v>0.8336805555555555</v>
      </c>
      <c r="F11" t="n" s="8">
        <v>1.8729166666666666</v>
      </c>
    </row>
    <row r="14">
      <c r="A14" t="s" s="4">
        <v>51</v>
      </c>
    </row>
    <row r="15" ht="30.0" customHeight="true">
      <c r="A15" t="s" s="2">
        <v>53</v>
      </c>
    </row>
    <row r="17" ht="30.0" customHeight="true">
      <c r="A17" t="s" s="5">
        <v>24</v>
      </c>
      <c r="B17" t="s" s="5">
        <v>10</v>
      </c>
      <c r="C17" t="s" s="5">
        <v>11</v>
      </c>
      <c r="D17" t="s" s="5">
        <v>25</v>
      </c>
      <c r="E17" t="s" s="5">
        <v>19</v>
      </c>
      <c r="F17" t="s" s="5">
        <v>20</v>
      </c>
      <c r="G17" t="s" s="5">
        <v>21</v>
      </c>
      <c r="H17" t="s" s="5">
        <v>55</v>
      </c>
    </row>
    <row r="18">
      <c r="A18" t="s" s="6">
        <v>26</v>
      </c>
      <c r="B18" t="s" s="6">
        <v>15</v>
      </c>
      <c r="C18" t="n" s="6">
        <v>5.0</v>
      </c>
      <c r="D18" t="n" s="20">
        <v>20.0</v>
      </c>
      <c r="E18" t="n" s="8">
        <v>0.003472222222222222</v>
      </c>
      <c r="F18" t="n" s="8">
        <v>0.003472222222222222</v>
      </c>
      <c r="G18" t="n" s="8">
        <v>0.003472222222222222</v>
      </c>
      <c r="H18" t="n" s="8">
        <v>0.06944444444444445</v>
      </c>
    </row>
    <row r="19">
      <c r="A19" t="s" s="6">
        <v>27</v>
      </c>
      <c r="B19" t="s" s="6">
        <v>15</v>
      </c>
      <c r="C19" t="n" s="6">
        <v>5.0</v>
      </c>
      <c r="D19" t="n" s="20">
        <v>20.0</v>
      </c>
      <c r="E19" t="n" s="8">
        <v>0.003472222222222222</v>
      </c>
      <c r="F19" t="n" s="8">
        <v>0.003472222222222222</v>
      </c>
      <c r="G19" t="n" s="8">
        <v>0.003472222222222222</v>
      </c>
      <c r="H19" t="n" s="8">
        <v>0.06944444444444445</v>
      </c>
    </row>
    <row r="20">
      <c r="A20" t="s" s="6">
        <v>28</v>
      </c>
      <c r="B20" t="s" s="6">
        <v>15</v>
      </c>
      <c r="C20" t="n" s="6">
        <v>5.0</v>
      </c>
      <c r="D20" t="n" s="6">
        <v>7.0</v>
      </c>
      <c r="E20" t="n" s="8">
        <v>0.003472222222222222</v>
      </c>
      <c r="F20" t="n" s="8">
        <v>0.003472222222222222</v>
      </c>
      <c r="G20" t="n" s="8">
        <v>0.003472222222222222</v>
      </c>
      <c r="H20" t="n" s="8">
        <v>0.024305555555555556</v>
      </c>
    </row>
    <row r="21">
      <c r="A21" t="s" s="6">
        <v>29</v>
      </c>
      <c r="B21" t="s" s="6">
        <v>15</v>
      </c>
      <c r="C21" t="n" s="6">
        <v>5.0</v>
      </c>
      <c r="D21" t="n" s="6">
        <v>2.0</v>
      </c>
      <c r="E21" t="n" s="8">
        <v>0.006944444444444444</v>
      </c>
      <c r="F21" t="n" s="8">
        <v>0.006944444444444444</v>
      </c>
      <c r="G21" t="n" s="8">
        <v>0.006944444444444444</v>
      </c>
      <c r="H21" t="n" s="8">
        <v>0.013888888888888888</v>
      </c>
    </row>
    <row r="22">
      <c r="A22" t="s" s="6">
        <v>30</v>
      </c>
      <c r="B22" t="s" s="6">
        <v>15</v>
      </c>
      <c r="C22" t="n" s="6">
        <v>5.0</v>
      </c>
      <c r="D22" t="n" s="6">
        <v>2.0</v>
      </c>
      <c r="E22" t="n" s="8">
        <v>0.08333333333333333</v>
      </c>
      <c r="F22" t="n" s="35">
        <v>0.08333333333333333</v>
      </c>
      <c r="G22" t="n" s="8">
        <v>0.08333333333333333</v>
      </c>
      <c r="H22" t="n" s="8">
        <v>0.16666666666666666</v>
      </c>
    </row>
    <row r="23">
      <c r="A23" t="s" s="6">
        <v>31</v>
      </c>
      <c r="B23" t="s" s="6">
        <v>15</v>
      </c>
      <c r="C23" t="n" s="6">
        <v>5.0</v>
      </c>
      <c r="D23" t="n" s="6">
        <v>2.0</v>
      </c>
      <c r="E23" t="n" s="8">
        <v>0.020833333333333332</v>
      </c>
      <c r="F23" t="n" s="8">
        <v>0.020833333333333332</v>
      </c>
      <c r="G23" t="n" s="8">
        <v>0.020833333333333332</v>
      </c>
      <c r="H23" t="n" s="8">
        <v>0.041666666666666664</v>
      </c>
    </row>
    <row r="24">
      <c r="A24" t="s" s="6">
        <v>32</v>
      </c>
      <c r="B24" t="s" s="6">
        <v>15</v>
      </c>
      <c r="C24" t="n" s="6">
        <v>5.0</v>
      </c>
      <c r="D24" t="n" s="6">
        <v>7.0</v>
      </c>
      <c r="E24" t="n" s="8">
        <v>6.944444444444445E-4</v>
      </c>
      <c r="F24" t="n" s="8">
        <v>6.944444444444445E-4</v>
      </c>
      <c r="G24" t="n" s="8">
        <v>6.944444444444445E-4</v>
      </c>
      <c r="H24" t="n" s="8">
        <v>0.004861111111111111</v>
      </c>
    </row>
    <row r="25">
      <c r="A25" t="s" s="6">
        <v>33</v>
      </c>
      <c r="B25" t="s" s="6">
        <v>15</v>
      </c>
      <c r="C25" t="n" s="6">
        <v>5.0</v>
      </c>
      <c r="D25" t="n" s="6">
        <v>7.0</v>
      </c>
      <c r="E25" t="n" s="8">
        <v>0.006944444444444444</v>
      </c>
      <c r="F25" t="n" s="8">
        <v>0.006944444444444444</v>
      </c>
      <c r="G25" t="n" s="8">
        <v>0.006944444444444444</v>
      </c>
      <c r="H25" t="n" s="8">
        <v>0.04861111111111111</v>
      </c>
    </row>
    <row r="26">
      <c r="A26" t="s" s="6">
        <v>34</v>
      </c>
      <c r="B26" t="s" s="6">
        <v>15</v>
      </c>
      <c r="C26" t="n" s="6">
        <v>5.0</v>
      </c>
      <c r="D26" t="n" s="6">
        <v>7.0</v>
      </c>
      <c r="E26" t="n" s="8">
        <v>0.003472222222222222</v>
      </c>
      <c r="F26" t="n" s="8">
        <v>0.003472222222222222</v>
      </c>
      <c r="G26" t="n" s="8">
        <v>0.003472222222222222</v>
      </c>
      <c r="H26" t="n" s="8">
        <v>0.024305555555555556</v>
      </c>
    </row>
    <row r="27">
      <c r="A27" t="s" s="6">
        <v>35</v>
      </c>
      <c r="B27" t="s" s="6">
        <v>15</v>
      </c>
      <c r="C27" t="n" s="6">
        <v>5.0</v>
      </c>
      <c r="D27" t="n" s="6">
        <v>6.0</v>
      </c>
      <c r="E27" t="n" s="35">
        <v>0.21134259259259258</v>
      </c>
      <c r="F27" t="n" s="8">
        <v>6.944444444444445E-4</v>
      </c>
      <c r="G27" t="n" s="35">
        <v>0.6465277777777778</v>
      </c>
      <c r="H27" t="n" s="35">
        <v>1.2680555555555555</v>
      </c>
    </row>
    <row r="28">
      <c r="A28" t="s" s="6">
        <v>36</v>
      </c>
      <c r="B28" t="s" s="6">
        <v>15</v>
      </c>
      <c r="C28" t="n" s="6">
        <v>5.0</v>
      </c>
      <c r="D28" t="n" s="6">
        <v>6.0</v>
      </c>
      <c r="E28" t="n" s="8">
        <v>0.02789351851851852</v>
      </c>
      <c r="F28" t="n" s="8">
        <v>3.4722222222222224E-4</v>
      </c>
      <c r="G28" t="n" s="8">
        <v>0.08298611111111111</v>
      </c>
      <c r="H28" t="n" s="8">
        <v>0.1673611111111111</v>
      </c>
    </row>
    <row r="29">
      <c r="A29" t="s" s="6">
        <v>37</v>
      </c>
      <c r="B29" t="s" s="6">
        <v>15</v>
      </c>
      <c r="C29" t="n" s="6">
        <v>5.0</v>
      </c>
      <c r="D29" t="n" s="6">
        <v>0.0</v>
      </c>
      <c r="E29" t="n" s="8">
        <v>0.0</v>
      </c>
      <c r="F29" t="n" s="8">
        <v>0.0</v>
      </c>
      <c r="G29" t="n" s="8">
        <v>0.0</v>
      </c>
      <c r="H29" t="n" s="8">
        <v>0.0</v>
      </c>
    </row>
    <row r="30" ht="15" customHeight="1" x14ac:dyDescent="0.25"/>
    <row r="32">
      <c r="A32" t="s" s="4">
        <v>56</v>
      </c>
    </row>
    <row r="33" ht="60.0" customHeight="true">
      <c r="A33" t="s" s="2">
        <v>58</v>
      </c>
    </row>
    <row r="35" ht="30.0" customHeight="true">
      <c r="A35" t="s" s="5">
        <v>24</v>
      </c>
      <c r="B35" t="s" s="5">
        <v>10</v>
      </c>
      <c r="C35" t="s" s="5">
        <v>11</v>
      </c>
      <c r="D35" t="s" s="5">
        <v>25</v>
      </c>
      <c r="E35" t="s" s="5">
        <v>19</v>
      </c>
      <c r="F35" t="s" s="5">
        <v>20</v>
      </c>
      <c r="G35" t="s" s="5">
        <v>21</v>
      </c>
      <c r="H35" t="s" s="5">
        <v>55</v>
      </c>
    </row>
    <row r="36">
      <c r="A36" t="s" s="6">
        <v>26</v>
      </c>
      <c r="B36" t="s" s="6">
        <v>15</v>
      </c>
      <c r="C36" t="n" s="6">
        <v>5.0</v>
      </c>
      <c r="D36" t="n" s="20">
        <v>20.0</v>
      </c>
      <c r="E36" t="n" s="8">
        <v>0.003472222222222222</v>
      </c>
      <c r="F36" t="n" s="8">
        <v>0.003472222222222222</v>
      </c>
      <c r="G36" t="n" s="8">
        <v>0.003472222222222222</v>
      </c>
      <c r="H36" t="n" s="8">
        <v>0.06944444444444445</v>
      </c>
    </row>
    <row r="37">
      <c r="A37" t="s" s="6">
        <v>27</v>
      </c>
      <c r="B37" t="s" s="6">
        <v>15</v>
      </c>
      <c r="C37" t="n" s="6">
        <v>5.0</v>
      </c>
      <c r="D37" t="n" s="20">
        <v>20.0</v>
      </c>
      <c r="E37" t="n" s="8">
        <v>0.003472222222222222</v>
      </c>
      <c r="F37" t="n" s="8">
        <v>0.003472222222222222</v>
      </c>
      <c r="G37" t="n" s="8">
        <v>0.003472222222222222</v>
      </c>
      <c r="H37" t="n" s="8">
        <v>0.06944444444444445</v>
      </c>
    </row>
    <row r="38">
      <c r="A38" t="s" s="6">
        <v>28</v>
      </c>
      <c r="B38" t="s" s="6">
        <v>15</v>
      </c>
      <c r="C38" t="n" s="6">
        <v>5.0</v>
      </c>
      <c r="D38" t="n" s="6">
        <v>7.0</v>
      </c>
      <c r="E38" t="n" s="8">
        <v>0.003472222222222222</v>
      </c>
      <c r="F38" t="n" s="8">
        <v>0.003472222222222222</v>
      </c>
      <c r="G38" t="n" s="8">
        <v>0.003472222222222222</v>
      </c>
      <c r="H38" t="n" s="8">
        <v>0.024305555555555556</v>
      </c>
    </row>
    <row r="39">
      <c r="A39" t="s" s="6">
        <v>29</v>
      </c>
      <c r="B39" t="s" s="6">
        <v>15</v>
      </c>
      <c r="C39" t="n" s="6">
        <v>5.0</v>
      </c>
      <c r="D39" t="n" s="6">
        <v>2.0</v>
      </c>
      <c r="E39" t="n" s="8">
        <v>0.006944444444444444</v>
      </c>
      <c r="F39" t="n" s="8">
        <v>0.006944444444444444</v>
      </c>
      <c r="G39" t="n" s="8">
        <v>0.006944444444444444</v>
      </c>
      <c r="H39" t="n" s="8">
        <v>0.013888888888888888</v>
      </c>
    </row>
    <row r="40">
      <c r="A40" t="s" s="6">
        <v>30</v>
      </c>
      <c r="B40" t="s" s="6">
        <v>15</v>
      </c>
      <c r="C40" t="n" s="6">
        <v>5.0</v>
      </c>
      <c r="D40" t="n" s="6">
        <v>2.0</v>
      </c>
      <c r="E40" t="n" s="35">
        <v>0.08333333333333333</v>
      </c>
      <c r="F40" t="n" s="35">
        <v>0.08333333333333333</v>
      </c>
      <c r="G40" t="n" s="35">
        <v>0.08333333333333333</v>
      </c>
      <c r="H40" t="n" s="35">
        <v>0.16666666666666666</v>
      </c>
    </row>
    <row r="41">
      <c r="A41" t="s" s="6">
        <v>31</v>
      </c>
      <c r="B41" t="s" s="6">
        <v>15</v>
      </c>
      <c r="C41" t="n" s="6">
        <v>5.0</v>
      </c>
      <c r="D41" t="n" s="6">
        <v>2.0</v>
      </c>
      <c r="E41" t="n" s="8">
        <v>0.020833333333333332</v>
      </c>
      <c r="F41" t="n" s="8">
        <v>0.020833333333333332</v>
      </c>
      <c r="G41" t="n" s="8">
        <v>0.020833333333333332</v>
      </c>
      <c r="H41" t="n" s="8">
        <v>0.041666666666666664</v>
      </c>
    </row>
    <row r="42">
      <c r="A42" t="s" s="6">
        <v>32</v>
      </c>
      <c r="B42" t="s" s="6">
        <v>15</v>
      </c>
      <c r="C42" t="n" s="6">
        <v>5.0</v>
      </c>
      <c r="D42" t="n" s="6">
        <v>7.0</v>
      </c>
      <c r="E42" t="n" s="8">
        <v>6.944444444444445E-4</v>
      </c>
      <c r="F42" t="n" s="8">
        <v>6.944444444444445E-4</v>
      </c>
      <c r="G42" t="n" s="8">
        <v>6.944444444444445E-4</v>
      </c>
      <c r="H42" t="n" s="8">
        <v>0.004861111111111111</v>
      </c>
    </row>
    <row r="43">
      <c r="A43" t="s" s="6">
        <v>33</v>
      </c>
      <c r="B43" t="s" s="6">
        <v>15</v>
      </c>
      <c r="C43" t="n" s="6">
        <v>5.0</v>
      </c>
      <c r="D43" t="n" s="6">
        <v>7.0</v>
      </c>
      <c r="E43" t="n" s="8">
        <v>0.006944444444444444</v>
      </c>
      <c r="F43" t="n" s="8">
        <v>0.006944444444444444</v>
      </c>
      <c r="G43" t="n" s="8">
        <v>0.006944444444444444</v>
      </c>
      <c r="H43" t="n" s="8">
        <v>0.04861111111111111</v>
      </c>
    </row>
    <row r="44">
      <c r="A44" t="s" s="6">
        <v>34</v>
      </c>
      <c r="B44" t="s" s="6">
        <v>15</v>
      </c>
      <c r="C44" t="n" s="6">
        <v>5.0</v>
      </c>
      <c r="D44" t="n" s="6">
        <v>7.0</v>
      </c>
      <c r="E44" t="n" s="8">
        <v>0.003472222222222222</v>
      </c>
      <c r="F44" t="n" s="8">
        <v>0.003472222222222222</v>
      </c>
      <c r="G44" t="n" s="8">
        <v>0.003472222222222222</v>
      </c>
      <c r="H44" t="n" s="8">
        <v>0.024305555555555556</v>
      </c>
    </row>
    <row r="45">
      <c r="A45" t="s" s="6">
        <v>35</v>
      </c>
      <c r="B45" t="s" s="6">
        <v>15</v>
      </c>
      <c r="C45" t="n" s="6">
        <v>5.0</v>
      </c>
      <c r="D45" t="n" s="6">
        <v>6.0</v>
      </c>
      <c r="E45" t="n" s="8">
        <v>6.944444444444445E-4</v>
      </c>
      <c r="F45" t="n" s="8">
        <v>6.944444444444445E-4</v>
      </c>
      <c r="G45" t="n" s="8">
        <v>6.944444444444445E-4</v>
      </c>
      <c r="H45" t="n" s="8">
        <v>0.004166666666666667</v>
      </c>
    </row>
    <row r="46">
      <c r="A46" t="s" s="6">
        <v>36</v>
      </c>
      <c r="B46" t="s" s="6">
        <v>15</v>
      </c>
      <c r="C46" t="n" s="6">
        <v>5.0</v>
      </c>
      <c r="D46" t="n" s="6">
        <v>6.0</v>
      </c>
      <c r="E46" t="n" s="8">
        <v>3.4722222222222224E-4</v>
      </c>
      <c r="F46" t="n" s="8">
        <v>3.4722222222222224E-4</v>
      </c>
      <c r="G46" t="n" s="8">
        <v>3.4722222222222224E-4</v>
      </c>
      <c r="H46" t="n" s="8">
        <v>0.0020833333333333333</v>
      </c>
    </row>
    <row r="47">
      <c r="A47" t="s" s="6">
        <v>37</v>
      </c>
      <c r="B47" t="s" s="6">
        <v>15</v>
      </c>
      <c r="C47" t="n" s="6">
        <v>5.0</v>
      </c>
      <c r="D47" t="n" s="6">
        <v>0.0</v>
      </c>
      <c r="E47" t="n" s="8">
        <v>0.0</v>
      </c>
      <c r="F47" t="n" s="8">
        <v>0.0</v>
      </c>
      <c r="G47" t="n" s="8">
        <v>0.0</v>
      </c>
      <c r="H47" t="n" s="8">
        <v>0.0</v>
      </c>
    </row>
    <row r="49">
      <c r="A49" s="71" t="s">
        <v>39</v>
      </c>
      <c r="B49" s="76"/>
    </row>
    <row r="50">
      <c r="A50" s="75" t="s">
        <v>40</v>
      </c>
      <c r="B50" s="77"/>
    </row>
    <row r="51">
      <c r="A51" s="75" t="s">
        <v>41</v>
      </c>
      <c r="B51" s="67" t="s">
        <v>42</v>
      </c>
    </row>
    <row r="52">
      <c r="A52" t="s" s="15">
        <v>43</v>
      </c>
      <c r="B52" s="40" t="s">
        <v>43</v>
      </c>
    </row>
    <row r="53">
      <c r="A53" s="16" t="s">
        <v>44</v>
      </c>
      <c r="B53" s="41" t="s">
        <v>44</v>
      </c>
    </row>
    <row r="54">
      <c r="A54" s="17" t="s">
        <v>45</v>
      </c>
      <c r="B54" s="42" t="s">
        <v>45</v>
      </c>
    </row>
    <row r="55">
      <c r="A55" s="18" t="s">
        <v>46</v>
      </c>
      <c r="B55" s="43" t="s">
        <v>46</v>
      </c>
    </row>
    <row r="56">
      <c r="A56" s="19" t="s">
        <v>47</v>
      </c>
      <c r="B56" s="44" t="s">
        <v>47</v>
      </c>
    </row>
    <row r="57">
      <c r="A57" s="78" t="s">
        <v>48</v>
      </c>
      <c r="B57" s="68" t="s">
        <v>48</v>
      </c>
    </row>
  </sheetData>
  <mergeCells count="6">
    <mergeCell ref="A8:F8"/>
    <mergeCell ref="A14:F14"/>
    <mergeCell ref="A15:F15"/>
    <mergeCell ref="A32:F32"/>
    <mergeCell ref="A33:F33"/>
    <mergeCell ref="A50:B5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RowHeight="15" x14ac:dyDescent="0.25"/>
  <cols>
    <col min="1" max="1" bestFit="true" customWidth="true" width="7.89453125"/>
    <col min="2" max="2" bestFit="true" customWidth="true" width="44.67578125"/>
  </cols>
  <sheetData>
    <row r="1">
      <c r="A1" t="s" s="71">
        <v>0</v>
      </c>
      <c r="B1" t="s" s="72">
        <v>1</v>
      </c>
    </row>
    <row r="2">
      <c r="A2" t="s" s="69">
        <v>2</v>
      </c>
      <c r="B2" t="s" s="67">
        <v>3</v>
      </c>
    </row>
    <row r="3">
      <c r="A3" t="s" s="69">
        <v>4</v>
      </c>
      <c r="B3" t="s" s="67">
        <v>5</v>
      </c>
    </row>
    <row r="4">
      <c r="A4" t="s" s="69">
        <v>6</v>
      </c>
      <c r="B4" t="s" s="67">
        <v>7</v>
      </c>
    </row>
    <row r="5">
      <c r="A5" t="s" s="70">
        <v>8</v>
      </c>
      <c r="B5" t="s" s="68">
        <v>9</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zoomScaleNormal="100" workbookViewId="0"/>
  </sheetViews>
  <sheetFormatPr baseColWidth="20" defaultColWidth="21.7109375" defaultRowHeight="15" x14ac:dyDescent="0.25"/>
  <cols>
    <col min="1" max="1" bestFit="true" customWidth="true" width="22.3203125"/>
    <col min="2" max="2" bestFit="true" customWidth="true" width="44.67578125"/>
    <col min="3" max="3" bestFit="true" customWidth="true" width="15.6640625"/>
    <col min="4" max="4" bestFit="true" customWidth="true" width="15.26171875"/>
    <col min="5" max="5" bestFit="true" customWidth="true" width="9.45703125"/>
  </cols>
  <sheetData>
    <row r="1">
      <c r="A1" t="s" s="71">
        <v>0</v>
      </c>
      <c r="B1" t="s" s="72">
        <v>1</v>
      </c>
    </row>
    <row r="2">
      <c r="A2" t="s" s="69">
        <v>2</v>
      </c>
      <c r="B2" t="s" s="67">
        <v>3</v>
      </c>
    </row>
    <row r="3">
      <c r="A3" t="s" s="69">
        <v>4</v>
      </c>
      <c r="B3" t="s" s="67">
        <v>5</v>
      </c>
    </row>
    <row r="4">
      <c r="A4" t="s" s="69">
        <v>6</v>
      </c>
      <c r="B4" t="s" s="67">
        <v>7</v>
      </c>
    </row>
    <row r="5">
      <c r="A5" t="s" s="70">
        <v>8</v>
      </c>
      <c r="B5" t="s" s="68">
        <v>9</v>
      </c>
    </row>
    <row r="7" ht="30.0" customHeight="true">
      <c r="A7" t="s" s="2">
        <v>61</v>
      </c>
    </row>
    <row r="10">
      <c r="A10" t="s" s="5">
        <v>62</v>
      </c>
      <c r="B10" t="s" s="5">
        <v>10</v>
      </c>
      <c r="C10" t="s" s="5">
        <v>11</v>
      </c>
      <c r="D10" t="s" s="5">
        <v>63</v>
      </c>
      <c r="E10" t="s" s="5">
        <v>64</v>
      </c>
    </row>
    <row r="11">
      <c r="A11" t="s" s="6">
        <v>65</v>
      </c>
      <c r="B11" t="s" s="6">
        <v>15</v>
      </c>
      <c r="C11" t="n" s="6">
        <v>5.0</v>
      </c>
      <c r="D11" t="n" s="35">
        <v>0.16666666666666666</v>
      </c>
      <c r="E11" t="n" s="30">
        <v>0.5</v>
      </c>
    </row>
    <row r="12">
      <c r="A12" t="s" s="6">
        <v>66</v>
      </c>
      <c r="B12" t="s" s="6">
        <v>15</v>
      </c>
      <c r="C12" t="n" s="6">
        <v>5.0</v>
      </c>
      <c r="D12" t="n" s="8">
        <v>0.07291666666666667</v>
      </c>
      <c r="E12" t="n" s="9">
        <v>0.0455</v>
      </c>
    </row>
    <row r="13">
      <c r="A13" t="s" s="6">
        <v>67</v>
      </c>
      <c r="B13" t="s" s="6">
        <v>15</v>
      </c>
      <c r="C13" t="n" s="6">
        <v>5.0</v>
      </c>
      <c r="D13" t="n" s="8">
        <v>0.07152777777777777</v>
      </c>
      <c r="E13" t="n" s="9">
        <v>0.0446</v>
      </c>
    </row>
    <row r="14">
      <c r="A14" t="s" s="6">
        <v>68</v>
      </c>
      <c r="B14" t="s" s="6">
        <v>15</v>
      </c>
      <c r="C14" t="n" s="6">
        <v>5.0</v>
      </c>
      <c r="D14" t="n" s="8">
        <v>0.07430555555555556</v>
      </c>
      <c r="E14" t="n" s="9">
        <v>0.0232</v>
      </c>
    </row>
    <row r="15">
      <c r="A15" t="s" s="6">
        <v>69</v>
      </c>
      <c r="B15" t="s" s="6">
        <v>15</v>
      </c>
      <c r="C15" t="n" s="6">
        <v>5.0</v>
      </c>
      <c r="D15" t="n" s="35">
        <v>0.16666666666666666</v>
      </c>
      <c r="E15" t="n" s="9">
        <v>0.0173</v>
      </c>
    </row>
    <row r="16">
      <c r="A16" t="s" s="6">
        <v>70</v>
      </c>
      <c r="B16" t="s" s="6">
        <v>15</v>
      </c>
      <c r="C16" t="n" s="6">
        <v>5.0</v>
      </c>
      <c r="D16" t="n" s="8">
        <v>0.024305555555555556</v>
      </c>
      <c r="E16" t="n" s="9">
        <v>0.0152</v>
      </c>
    </row>
    <row r="17">
      <c r="A17" t="s" s="6">
        <v>71</v>
      </c>
      <c r="B17" t="s" s="6">
        <v>15</v>
      </c>
      <c r="C17" t="n" s="6">
        <v>5.0</v>
      </c>
      <c r="D17" t="n" s="8">
        <v>0.041666666666666664</v>
      </c>
      <c r="E17" t="n" s="9">
        <v>0.013</v>
      </c>
    </row>
    <row r="18">
      <c r="A18" t="s" s="6">
        <v>72</v>
      </c>
      <c r="B18" t="s" s="6">
        <v>15</v>
      </c>
      <c r="C18" t="n" s="6">
        <v>5.0</v>
      </c>
      <c r="D18" t="n" s="8">
        <v>0.013888888888888888</v>
      </c>
      <c r="E18" t="n" s="9">
        <v>0.0087</v>
      </c>
    </row>
    <row r="19">
      <c r="A19" t="s" s="6">
        <v>73</v>
      </c>
      <c r="B19" t="s" s="6">
        <v>15</v>
      </c>
      <c r="C19" t="n" s="6">
        <v>5.0</v>
      </c>
      <c r="D19" t="n" s="8">
        <v>0.004166666666666667</v>
      </c>
      <c r="E19" t="n" s="9">
        <v>0.0029</v>
      </c>
    </row>
    <row r="21">
      <c r="A21" s="71" t="s">
        <v>39</v>
      </c>
      <c r="B21" s="76"/>
    </row>
    <row r="22">
      <c r="A22" s="75" t="s">
        <v>40</v>
      </c>
      <c r="B22" s="77"/>
    </row>
    <row r="23">
      <c r="A23" s="75" t="s">
        <v>41</v>
      </c>
      <c r="B23" s="67" t="s">
        <v>42</v>
      </c>
    </row>
    <row r="24">
      <c r="A24" t="s" s="15">
        <v>43</v>
      </c>
      <c r="B24" s="40" t="s">
        <v>43</v>
      </c>
    </row>
    <row r="25">
      <c r="A25" s="16" t="s">
        <v>44</v>
      </c>
      <c r="B25" s="41" t="s">
        <v>44</v>
      </c>
    </row>
    <row r="26">
      <c r="A26" s="17" t="s">
        <v>45</v>
      </c>
      <c r="B26" s="42" t="s">
        <v>45</v>
      </c>
    </row>
    <row r="27">
      <c r="A27" s="18" t="s">
        <v>46</v>
      </c>
      <c r="B27" s="43" t="s">
        <v>46</v>
      </c>
    </row>
    <row r="28">
      <c r="A28" s="19" t="s">
        <v>47</v>
      </c>
      <c r="B28" s="44" t="s">
        <v>47</v>
      </c>
    </row>
    <row r="29">
      <c r="A29" s="78" t="s">
        <v>48</v>
      </c>
      <c r="B29" s="68" t="s">
        <v>48</v>
      </c>
    </row>
  </sheetData>
  <mergeCells count="2">
    <mergeCell ref="A7:F7"/>
    <mergeCell ref="A22:B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RowHeight="15" x14ac:dyDescent="0.25"/>
  <cols>
    <col min="1" max="1" bestFit="true" customWidth="true" width="7.89453125"/>
    <col min="2" max="2" bestFit="true" customWidth="true" width="44.67578125"/>
  </cols>
  <sheetData>
    <row r="1">
      <c r="A1" t="s" s="71">
        <v>0</v>
      </c>
      <c r="B1" t="s" s="72">
        <v>1</v>
      </c>
    </row>
    <row r="2">
      <c r="A2" t="s" s="69">
        <v>2</v>
      </c>
      <c r="B2" t="s" s="67">
        <v>3</v>
      </c>
    </row>
    <row r="3">
      <c r="A3" t="s" s="69">
        <v>4</v>
      </c>
      <c r="B3" t="s" s="67">
        <v>5</v>
      </c>
    </row>
    <row r="4">
      <c r="A4" t="s" s="69">
        <v>6</v>
      </c>
      <c r="B4" t="s" s="67">
        <v>7</v>
      </c>
    </row>
    <row r="5">
      <c r="A5" t="s" s="70">
        <v>8</v>
      </c>
      <c r="B5" t="s" s="68">
        <v>9</v>
      </c>
    </row>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sheetViews>
  <sheetFormatPr baseColWidth="10" defaultRowHeight="15" x14ac:dyDescent="0.25"/>
  <sheetData>
    <row r="1">
      <c r="A1" s="0">
        <f>Costs!A16</f>
      </c>
      <c r="B1" s="0">
        <f>Costs!H16</f>
      </c>
      <c r="D1" s="0">
        <f>'Total cycle time'!H36</f>
      </c>
      <c r="F1">
        <f>'Resource consumption'!D11</f>
      </c>
      <c r="J1" t="s">
        <v>38</v>
      </c>
    </row>
    <row r="2">
      <c r="A2" s="0">
        <f>Costs!A17</f>
      </c>
      <c r="B2" s="0">
        <f>Costs!H17</f>
      </c>
      <c r="D2" s="0">
        <f>'Total cycle time'!H37</f>
      </c>
      <c r="F2" s="0">
        <f>'Resource consumption'!D12</f>
      </c>
      <c r="J2" t="s">
        <v>59</v>
      </c>
    </row>
    <row r="3">
      <c r="A3" s="0">
        <f>Costs!A18</f>
      </c>
      <c r="B3" s="0">
        <f>Costs!H18</f>
      </c>
      <c r="D3" s="0">
        <f>'Total cycle time'!H38</f>
      </c>
      <c r="F3" s="0">
        <f>'Resource consumption'!D13</f>
      </c>
      <c r="J3" t="s" s="0">
        <v>74</v>
      </c>
    </row>
    <row r="4">
      <c r="A4" s="0">
        <f>Costs!A19</f>
      </c>
      <c r="B4" s="0">
        <f>Costs!H19</f>
      </c>
      <c r="D4" s="0">
        <f>'Total cycle time'!H39</f>
      </c>
      <c r="F4" s="0">
        <f>'Resource consumption'!D14</f>
      </c>
    </row>
    <row r="5">
      <c r="A5" s="0">
        <f>Costs!A20</f>
      </c>
      <c r="B5" s="0">
        <f>Costs!H20</f>
      </c>
      <c r="D5" s="0">
        <f>'Total cycle time'!H40</f>
      </c>
      <c r="F5" s="0">
        <f>'Resource consumption'!D15</f>
      </c>
    </row>
    <row r="6">
      <c r="A6" s="0">
        <f>Costs!A21</f>
      </c>
      <c r="B6" s="0">
        <f>Costs!H21</f>
      </c>
      <c r="D6" s="0">
        <f>'Total cycle time'!H41</f>
      </c>
      <c r="F6" s="0">
        <f>'Resource consumption'!D16</f>
      </c>
    </row>
    <row r="7">
      <c r="A7" s="0">
        <f>Costs!A22</f>
      </c>
      <c r="B7" s="0">
        <f>Costs!H22</f>
      </c>
      <c r="D7" s="0">
        <f>'Total cycle time'!H42</f>
      </c>
      <c r="F7" s="0">
        <f>'Resource consumption'!D17</f>
      </c>
    </row>
    <row r="8">
      <c r="A8" s="0">
        <f>Costs!A23</f>
      </c>
      <c r="B8" s="0">
        <f>Costs!H23</f>
      </c>
      <c r="D8" s="0">
        <f>'Total cycle time'!H43</f>
      </c>
      <c r="F8" s="0">
        <f>'Resource consumption'!D18</f>
      </c>
    </row>
    <row r="9">
      <c r="A9" s="0">
        <f>Costs!A24</f>
      </c>
      <c r="B9" s="0">
        <f>Costs!H24</f>
      </c>
      <c r="D9" s="0">
        <f>'Total cycle time'!H44</f>
      </c>
      <c r="F9" s="0">
        <f>'Resource consumption'!D19</f>
      </c>
    </row>
    <row r="10">
      <c r="A10" s="0">
        <f>Costs!A25</f>
      </c>
      <c r="B10" s="0">
        <f>Costs!H25</f>
      </c>
      <c r="D10" s="0">
        <f>'Total cycle time'!H45</f>
      </c>
      <c r="F10" s="0">
        <f>'Resource consumption'!A11</f>
      </c>
    </row>
    <row r="11">
      <c r="A11" s="0">
        <f>Costs!A26</f>
      </c>
      <c r="B11" s="0">
        <f>Costs!H26</f>
      </c>
      <c r="D11" s="0">
        <f>'Total cycle time'!H46</f>
      </c>
      <c r="F11" s="0">
        <f>'Resource consumption'!A12</f>
      </c>
    </row>
    <row r="12">
      <c r="A12" s="0">
        <f>Costs!A27</f>
      </c>
      <c r="B12" s="0">
        <f>Costs!H27</f>
      </c>
      <c r="D12" s="0">
        <f>'Total cycle time'!H47</f>
      </c>
      <c r="F12" s="0">
        <f>'Resource consumption'!A13</f>
      </c>
    </row>
    <row r="13">
      <c r="F13" s="0">
        <f>'Resource consumption'!A14</f>
      </c>
    </row>
    <row r="14">
      <c r="F14" s="0">
        <f>'Resource consumption'!A15</f>
      </c>
    </row>
    <row r="15">
      <c r="F15" s="0">
        <f>'Resource consumption'!A16</f>
      </c>
    </row>
    <row r="16">
      <c r="F16" s="0">
        <f>'Resource consumption'!A17</f>
      </c>
    </row>
    <row r="17">
      <c r="F17" s="0">
        <f>'Resource consumption'!A18</f>
      </c>
    </row>
    <row r="18">
      <c r="F18" s="0">
        <f>'Resource consumption'!A19</f>
      </c>
    </row>
  </sheetData>
  <pageMargins left="0.7" right="0.7" top="0.78740157499999996" bottom="0.78740157499999996" header="0.3" footer="0.3"/>
  <pageSetup orientation="portrait" r:id="rId1"/>
</worksheet>
</file>

<file path=xl/worksheets/sheet16.xml><?xml version="1.0" encoding="utf-8"?>
<worksheet xmlns="http://schemas.openxmlformats.org/spreadsheetml/2006/main">
  <dimension ref="A1:C49"/>
  <sheetViews>
    <sheetView workbookViewId="0"/>
  </sheetViews>
  <sheetFormatPr defaultRowHeight="15.0" baseColWidth="20" outlineLevelRow="2"/>
  <cols>
    <col min="1" max="1" width="46.9609375" customWidth="true" bestFit="true"/>
    <col min="2" max="2" width="44.67578125" customWidth="true" bestFit="true"/>
    <col min="3" max="3" width="14.2539062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c r="A7" t="s" s="3">
        <v>75</v>
      </c>
    </row>
    <row r="8" outlineLevel="1"/>
    <row r="9" outlineLevel="1">
      <c r="A9" t="s" s="5">
        <v>24</v>
      </c>
      <c r="B9" t="s" s="5">
        <v>76</v>
      </c>
      <c r="C9" t="s" s="5">
        <v>77</v>
      </c>
    </row>
    <row r="10" outlineLevel="1">
      <c r="A10" t="s" s="6">
        <v>26</v>
      </c>
      <c r="B10" t="n" s="10">
        <v>0.0</v>
      </c>
      <c r="C10" t="s" s="7">
        <v>78</v>
      </c>
    </row>
    <row r="11" outlineLevel="1">
      <c r="A11" t="s" s="6">
        <v>27</v>
      </c>
      <c r="B11" t="n" s="10">
        <v>0.0</v>
      </c>
      <c r="C11" t="s" s="7">
        <v>78</v>
      </c>
    </row>
    <row r="12" outlineLevel="1">
      <c r="A12" t="s" s="6">
        <v>28</v>
      </c>
      <c r="B12" t="n" s="10">
        <v>0.0</v>
      </c>
      <c r="C12" t="s" s="7">
        <v>78</v>
      </c>
    </row>
    <row r="13" outlineLevel="1">
      <c r="A13" t="s" s="6">
        <v>29</v>
      </c>
      <c r="B13" t="n" s="10">
        <v>0.0</v>
      </c>
      <c r="C13" t="s" s="7">
        <v>79</v>
      </c>
    </row>
    <row r="14" outlineLevel="1">
      <c r="A14" t="s" s="6">
        <v>30</v>
      </c>
      <c r="B14" t="n" s="10">
        <v>0.0</v>
      </c>
      <c r="C14" t="s" s="7">
        <v>80</v>
      </c>
    </row>
    <row r="15" outlineLevel="1">
      <c r="A15" t="s" s="6">
        <v>31</v>
      </c>
      <c r="B15" t="n" s="10">
        <v>0.0</v>
      </c>
      <c r="C15" t="s" s="7">
        <v>81</v>
      </c>
    </row>
    <row r="16" outlineLevel="1">
      <c r="A16" t="s" s="6">
        <v>32</v>
      </c>
      <c r="B16" t="n" s="10">
        <v>0.0</v>
      </c>
      <c r="C16" t="s" s="7">
        <v>82</v>
      </c>
    </row>
    <row r="17" outlineLevel="1">
      <c r="A17" t="s" s="6">
        <v>33</v>
      </c>
      <c r="B17" t="n" s="10">
        <v>0.0</v>
      </c>
      <c r="C17" t="s" s="7">
        <v>79</v>
      </c>
    </row>
    <row r="18" outlineLevel="1">
      <c r="A18" t="s" s="6">
        <v>34</v>
      </c>
      <c r="B18" t="n" s="10">
        <v>0.0</v>
      </c>
      <c r="C18" t="s" s="7">
        <v>78</v>
      </c>
    </row>
    <row r="19" outlineLevel="1">
      <c r="A19" t="s" s="6">
        <v>35</v>
      </c>
      <c r="B19" t="n" s="10">
        <v>0.0</v>
      </c>
      <c r="C19" t="s" s="7">
        <v>82</v>
      </c>
    </row>
    <row r="20" outlineLevel="1">
      <c r="A20" t="s" s="6">
        <v>36</v>
      </c>
      <c r="B20" t="n" s="10">
        <v>0.0</v>
      </c>
      <c r="C20" t="s" s="7">
        <v>83</v>
      </c>
    </row>
    <row r="21" outlineLevel="1">
      <c r="A21" t="s" s="6">
        <v>37</v>
      </c>
      <c r="B21" t="n" s="10">
        <v>0.0</v>
      </c>
      <c r="C21" t="s" s="7">
        <v>81</v>
      </c>
    </row>
    <row r="24">
      <c r="A24" s="3" t="s">
        <v>84</v>
      </c>
    </row>
    <row r="25" outlineLevel="1"/>
    <row r="26" outlineLevel="1">
      <c r="A26" t="s" s="5">
        <v>85</v>
      </c>
      <c r="B26" t="s" s="5">
        <v>86</v>
      </c>
    </row>
    <row r="27" outlineLevel="2">
      <c r="A27" t="s" s="6">
        <v>87</v>
      </c>
      <c r="B27" t="s" s="6">
        <v>88</v>
      </c>
    </row>
    <row r="28" outlineLevel="1"/>
    <row r="29" outlineLevel="1">
      <c r="A29" t="s" s="5">
        <v>89</v>
      </c>
      <c r="B29" t="s" s="5">
        <v>90</v>
      </c>
      <c r="C29" t="s" s="5">
        <v>91</v>
      </c>
    </row>
    <row r="30" outlineLevel="2">
      <c r="A30" t="s" s="6">
        <v>92</v>
      </c>
      <c r="B30" t="s" s="6">
        <v>93</v>
      </c>
      <c r="C30" t="n" s="9">
        <v>0.5</v>
      </c>
    </row>
    <row r="31" outlineLevel="2">
      <c r="A31" s="80"/>
      <c r="B31" t="s" s="6">
        <v>94</v>
      </c>
      <c r="C31" t="n" s="9">
        <v>0.5</v>
      </c>
    </row>
    <row r="32" outlineLevel="2">
      <c r="A32" t="s" s="6">
        <v>95</v>
      </c>
      <c r="B32" t="s" s="6">
        <v>96</v>
      </c>
      <c r="C32" t="n" s="9">
        <v>0.3</v>
      </c>
    </row>
    <row r="33" outlineLevel="2">
      <c r="A33" s="80"/>
      <c r="B33" t="s" s="6">
        <v>97</v>
      </c>
      <c r="C33" t="n" s="9">
        <v>0.7</v>
      </c>
    </row>
    <row r="34" outlineLevel="2">
      <c r="A34" t="s" s="6">
        <v>98</v>
      </c>
      <c r="B34" t="s" s="6">
        <v>99</v>
      </c>
      <c r="C34" t="n" s="9">
        <v>0.05</v>
      </c>
    </row>
    <row r="35" outlineLevel="2">
      <c r="A35" s="80"/>
      <c r="B35" t="s" s="6">
        <v>100</v>
      </c>
      <c r="C35" t="n" s="9">
        <v>0.95</v>
      </c>
    </row>
    <row r="38">
      <c r="A38" t="s" s="3">
        <v>62</v>
      </c>
    </row>
    <row r="39" outlineLevel="1"/>
    <row r="40" outlineLevel="1">
      <c r="A40" t="s" s="5">
        <v>101</v>
      </c>
      <c r="B40" t="s" s="5">
        <v>102</v>
      </c>
      <c r="C40" t="s" s="5">
        <v>103</v>
      </c>
    </row>
    <row r="41" outlineLevel="1">
      <c r="A41" t="s" s="6">
        <v>67</v>
      </c>
      <c r="B41" t="s" s="6">
        <v>104</v>
      </c>
      <c r="C41" t="n" s="10">
        <v>13.0</v>
      </c>
    </row>
    <row r="42" outlineLevel="1">
      <c r="A42" t="s" s="6">
        <v>70</v>
      </c>
      <c r="B42" t="s" s="6">
        <v>104</v>
      </c>
      <c r="C42" t="n" s="10">
        <v>10.0</v>
      </c>
    </row>
    <row r="43" outlineLevel="1">
      <c r="A43" t="s" s="6">
        <v>66</v>
      </c>
      <c r="B43" t="s" s="6">
        <v>104</v>
      </c>
      <c r="C43" t="n" s="10">
        <v>10.0</v>
      </c>
    </row>
    <row r="44" outlineLevel="1">
      <c r="A44" t="s" s="6">
        <v>68</v>
      </c>
      <c r="B44" t="s" s="6">
        <v>105</v>
      </c>
      <c r="C44" t="n" s="10">
        <v>12.0</v>
      </c>
    </row>
    <row r="45" outlineLevel="1">
      <c r="A45" t="s" s="6">
        <v>71</v>
      </c>
      <c r="B45" t="s" s="6">
        <v>105</v>
      </c>
      <c r="C45" t="n" s="10">
        <v>11.0</v>
      </c>
    </row>
    <row r="46" outlineLevel="1">
      <c r="A46" t="s" s="6">
        <v>69</v>
      </c>
      <c r="B46" t="s" s="6">
        <v>106</v>
      </c>
      <c r="C46" t="n" s="10">
        <v>8.0</v>
      </c>
    </row>
    <row r="47" outlineLevel="1">
      <c r="A47" t="s" s="6">
        <v>65</v>
      </c>
      <c r="B47" t="s" s="6">
        <v>107</v>
      </c>
      <c r="C47" t="n" s="10">
        <v>8.0</v>
      </c>
    </row>
    <row r="48" outlineLevel="1">
      <c r="A48" t="s" s="6">
        <v>72</v>
      </c>
      <c r="B48" t="s" s="6">
        <v>104</v>
      </c>
      <c r="C48" t="n" s="10">
        <v>14.0</v>
      </c>
    </row>
    <row r="49" outlineLevel="1">
      <c r="A49" t="s" s="6">
        <v>73</v>
      </c>
      <c r="B49" t="s" s="6">
        <v>108</v>
      </c>
      <c r="C49" t="n" s="10">
        <v>10.0</v>
      </c>
    </row>
  </sheetData>
  <mergeCells count="3">
    <mergeCell ref="A30:A31"/>
    <mergeCell ref="A32:A33"/>
    <mergeCell ref="A34:A35"/>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Überblick</vt:lpstr>
      <vt:lpstr>Kosten</vt:lpstr>
      <vt:lpstr>Kosten_Diagramme</vt:lpstr>
      <vt:lpstr>Gesamtdurchlaufszeit</vt:lpstr>
      <vt:lpstr>Gesamtdurchlaufszeit_Diagramme</vt:lpstr>
      <vt:lpstr>Ressourcenverbrauch</vt:lpstr>
      <vt:lpstr>Ressourcenverbrauch_Diagramme</vt:lpstr>
      <vt:lpstr>Flaschenhälse</vt:lpstr>
      <vt:lpstr>Flaschenhälse_Diagramme</vt:lpstr>
      <vt:lpstr>hiddenData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2013-09-04T15:20:55Z</dcterms:created>
  <dc:creator>Apache POI</dc:creator>
  <cp:lastModifiedBy>Stefan Krumnow</cp:lastModifiedBy>
  <dcterms:modified xsi:type="dcterms:W3CDTF">2014-08-29T14:02:08Z</dcterms:modified>
</cp:coreProperties>
</file>